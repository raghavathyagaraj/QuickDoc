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ghavathyagaraj/Downloads/"/>
    </mc:Choice>
  </mc:AlternateContent>
  <xr:revisionPtr revIDLastSave="0" documentId="13_ncr:1_{29BA7B23-2EDC-1546-AB66-8334271B3CD1}" xr6:coauthVersionLast="47" xr6:coauthVersionMax="47" xr10:uidLastSave="{00000000-0000-0000-0000-000000000000}"/>
  <bookViews>
    <workbookView xWindow="0" yWindow="600" windowWidth="38400" windowHeight="21000" tabRatio="701" xr2:uid="{00000000-000D-0000-FFFF-FFFF00000000}"/>
  </bookViews>
  <sheets>
    <sheet name="RCT Details" sheetId="3" r:id="rId1"/>
    <sheet name="ET-Entitlements" sheetId="6" r:id="rId2"/>
  </sheets>
  <definedNames>
    <definedName name="_xlnm.Print_Area" localSheetId="0">'RCT Details'!$A$1:$X$30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30" i="3" l="1"/>
  <c r="BK29" i="3"/>
  <c r="BK28" i="3"/>
  <c r="BK27" i="3"/>
  <c r="BK26" i="3"/>
  <c r="BK25" i="3"/>
  <c r="BK24" i="3"/>
  <c r="BK23" i="3"/>
  <c r="BK22" i="3"/>
  <c r="BK21" i="3"/>
  <c r="BK20" i="3"/>
  <c r="BK19" i="3"/>
  <c r="BK18" i="3"/>
  <c r="BK17" i="3"/>
  <c r="BK16" i="3"/>
  <c r="BK15" i="3"/>
  <c r="BK14" i="3"/>
  <c r="BK13" i="3"/>
  <c r="BK12" i="3"/>
  <c r="BK11" i="3"/>
  <c r="BK10" i="3"/>
  <c r="BK9" i="3"/>
  <c r="BK8" i="3"/>
  <c r="BK6" i="3"/>
  <c r="BK5" i="3"/>
</calcChain>
</file>

<file path=xl/sharedStrings.xml><?xml version="1.0" encoding="utf-8"?>
<sst xmlns="http://schemas.openxmlformats.org/spreadsheetml/2006/main" count="688" uniqueCount="121">
  <si>
    <t>01. Account Management</t>
  </si>
  <si>
    <t>02. Doctor Search</t>
  </si>
  <si>
    <t>03. Appointment Booking</t>
  </si>
  <si>
    <t>04. Provider Management</t>
  </si>
  <si>
    <t>05. Reviews &amp; Ratings</t>
  </si>
  <si>
    <t>06. Payment Management</t>
  </si>
  <si>
    <t>08. Advertising Management</t>
  </si>
  <si>
    <t>09. Medical Records</t>
  </si>
  <si>
    <t>11. Secure Messaging</t>
  </si>
  <si>
    <t>01.01 Register Patient</t>
  </si>
  <si>
    <t>01.02 Register Doctor</t>
  </si>
  <si>
    <t>01.03 Log In</t>
  </si>
  <si>
    <t>01.04 Log Out</t>
  </si>
  <si>
    <t>01.05 Modify Profile</t>
  </si>
  <si>
    <t>01.06 Deactivate Account</t>
  </si>
  <si>
    <t>01.07 Show Profile</t>
  </si>
  <si>
    <t>01.08 Reset Password</t>
  </si>
  <si>
    <t>02.01 Search by Specialty</t>
  </si>
  <si>
    <t>02.02 Search by Location</t>
  </si>
  <si>
    <t>02.03 Search by Name</t>
  </si>
  <si>
    <t>02.04 Add to Favorites</t>
  </si>
  <si>
    <t>02.05 Sort by Rating</t>
  </si>
  <si>
    <t>02.06 View Doctor Profile</t>
  </si>
  <si>
    <t>03.01 View Available Slots</t>
  </si>
  <si>
    <t>03.02 Book Appointment</t>
  </si>
  <si>
    <t>03.03 Reschedule Booking</t>
  </si>
  <si>
    <t>03.04 Cancel Booking</t>
  </si>
  <si>
    <t>03.05 View Booking History</t>
  </si>
  <si>
    <t>03.06 Send Booking Reminder</t>
  </si>
  <si>
    <t>04.01 Add Doctor Profile</t>
  </si>
  <si>
    <t>04.02 Update Schedule</t>
  </si>
  <si>
    <t>04.03 Manage Availability</t>
  </si>
  <si>
    <t>04.04 View Patient List</t>
  </si>
  <si>
    <t>04.05 Show Contact Info</t>
  </si>
  <si>
    <t>04.06 Update Clinic Info</t>
  </si>
  <si>
    <t>05.01 Submit Review</t>
  </si>
  <si>
    <t>05.02 Rate Doctor</t>
  </si>
  <si>
    <t>05.03 View Reviews</t>
  </si>
  <si>
    <t>05.04 View Review History</t>
  </si>
  <si>
    <t>05.05 View Rating Summary</t>
  </si>
  <si>
    <t>06.01 Process Payment</t>
  </si>
  <si>
    <t>06.02 Manage Billing</t>
  </si>
  <si>
    <t>06.03 Manage Subscriptions</t>
  </si>
  <si>
    <t>06.04 Process Refund</t>
  </si>
  <si>
    <t>06.05 View Payment History</t>
  </si>
  <si>
    <t>07.01 Sales Dashboard</t>
  </si>
  <si>
    <t>07.02 Sales Metrics</t>
  </si>
  <si>
    <t>07.03 Provider Communication</t>
  </si>
  <si>
    <t>07.04 Contract Management</t>
  </si>
  <si>
    <t>08.01 Ads Dashboard</t>
  </si>
  <si>
    <t>08.02 Create Campaign</t>
  </si>
  <si>
    <t>08.03 Modify Campaign</t>
  </si>
  <si>
    <t>08.04 Delete Campaign</t>
  </si>
  <si>
    <t>08.05 Featured Listings</t>
  </si>
  <si>
    <t>08.06 View Impressions</t>
  </si>
  <si>
    <t>08.07 Track Clicks</t>
  </si>
  <si>
    <t>08.08 Track Conversions</t>
  </si>
  <si>
    <t>08.09 Ad Revenue Reports</t>
  </si>
  <si>
    <t>09.01 View Medical Records</t>
  </si>
  <si>
    <t>09.04 Download Records</t>
  </si>
  <si>
    <t>10.01 View Prescriptions</t>
  </si>
  <si>
    <t>10.02 Issue Prescription</t>
  </si>
  <si>
    <t>11.01 Send Message</t>
  </si>
  <si>
    <t>11.02 View Inbox</t>
  </si>
  <si>
    <t>11.03 Message History</t>
  </si>
  <si>
    <t>Requirements Composition Table: QuickDoc</t>
  </si>
  <si>
    <t>07. Sales Management</t>
  </si>
  <si>
    <t>10. Prescription Management</t>
  </si>
  <si>
    <t>09.02 View Lab Results</t>
  </si>
  <si>
    <t>09.03 Request Prescription Refill</t>
  </si>
  <si>
    <t>10.03 Approve Refill Request</t>
  </si>
  <si>
    <t>10.04 Deny Refill Request</t>
  </si>
  <si>
    <t>11.04 Message Notifications</t>
  </si>
  <si>
    <t>Crosscut Counts</t>
  </si>
  <si>
    <t>Core Functionality</t>
  </si>
  <si>
    <t>S1</t>
  </si>
  <si>
    <t>S2</t>
  </si>
  <si>
    <t>S3</t>
  </si>
  <si>
    <t>GUI Features</t>
  </si>
  <si>
    <t>Crosscutting Concerns</t>
  </si>
  <si>
    <t>ET-In - Internal Entitlements</t>
  </si>
  <si>
    <t>ET-Ex - External Entitlements</t>
  </si>
  <si>
    <t>CS - Client Setup</t>
  </si>
  <si>
    <t>DS - Doctor Specialty</t>
  </si>
  <si>
    <t>LT - Lab Test Types</t>
  </si>
  <si>
    <t>AS - Appointment Status</t>
  </si>
  <si>
    <t>PS - Payment Status</t>
  </si>
  <si>
    <t>FV - Field Validation</t>
  </si>
  <si>
    <t>DDV - Data-Dependency Validation</t>
  </si>
  <si>
    <t>DDD - Data-Driven Defaults</t>
  </si>
  <si>
    <t>CL - Calculations</t>
  </si>
  <si>
    <t>ER - Enrichment</t>
  </si>
  <si>
    <t>CC - Concurrency</t>
  </si>
  <si>
    <t>CN - Connectivity</t>
  </si>
  <si>
    <t>TZ - Timezone Handling</t>
  </si>
  <si>
    <t>DF-In - Data Flow In</t>
  </si>
  <si>
    <t>DF-Out - Data Flow Out</t>
  </si>
  <si>
    <t>SI-In - System Interface (inbound)</t>
  </si>
  <si>
    <t>SI-Out - System Interface (outbound)</t>
  </si>
  <si>
    <t>ADT - Audit Trail</t>
  </si>
  <si>
    <t>CA - Cache</t>
  </si>
  <si>
    <t>ExHL - Exception Handling &amp; Logging</t>
  </si>
  <si>
    <t>PF - Performance</t>
  </si>
  <si>
    <t>Features to be implemented in Sprint 1</t>
  </si>
  <si>
    <t>Features to be implemented in Sprint 2</t>
  </si>
  <si>
    <t>Features to be implemented in Sprint 3</t>
  </si>
  <si>
    <t>Entitlements Specification: QuickDoc Healthcare Platform</t>
  </si>
  <si>
    <t>User Roles</t>
  </si>
  <si>
    <t>1. Subscribed Patient</t>
  </si>
  <si>
    <t>X</t>
  </si>
  <si>
    <t>2. Doctor</t>
  </si>
  <si>
    <t>3. Clinic Administrator</t>
  </si>
  <si>
    <t>4. Hospital Admin</t>
  </si>
  <si>
    <t>5. Product Manager</t>
  </si>
  <si>
    <t>6. Operations Manager</t>
  </si>
  <si>
    <t>7. Financial Analyst</t>
  </si>
  <si>
    <t>8. Billing Specialist</t>
  </si>
  <si>
    <t>9. Sales Representative</t>
  </si>
  <si>
    <t>10. Business Development Executive</t>
  </si>
  <si>
    <t>11. Digital Marketing Manager</t>
  </si>
  <si>
    <t>12. Advertising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</si>
</sst>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365D"/>
      </patternFill>
    </fill>
    <fill>
      <patternFill patternType="solid">
        <fgColor rgb="FFD6EAF8"/>
      </patternFill>
    </fill>
    <fill>
      <patternFill patternType="solid">
        <f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92D05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FFF2CC"/>
      </patternFill>
    </fill>
    <fill>
      <patternFill patternType="solid">
        <fgColor rgb="FFBDD7EE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7">
    <xf numFmtId="0" fontId="0" fillId="0" borderId="0" xfId="0"/>
    <xf numFmtId="0" fontId="3" fillId="0" borderId="0" xfId="0" applyFont="1"/>
    <xf numFmtId="0" fontId="0" fillId="0" borderId="2" xfId="0" applyBorder="1" applyAlignment="1">
      <alignment horizontal="center" vertical="center"/>
    </xf>
    <xf numFmtId="0" fontId="0" fillId="5" borderId="2" xfId="0" applyFill="1" applyBorder="1"/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1" fillId="0" borderId="0" xfId="0" applyFont="1"/>
    <xf numFmtId="0" fontId="1" fillId="0" borderId="11" xfId="0" applyFont="1" applyBorder="1"/>
    <xf numFmtId="0" fontId="2" fillId="0" borderId="11" xfId="0" applyFont="1" applyBorder="1"/>
    <xf numFmtId="0" fontId="2" fillId="0" borderId="3" xfId="0" applyFont="1" applyBorder="1"/>
    <xf numFmtId="0" fontId="1" fillId="0" borderId="3" xfId="0" applyFont="1" applyBorder="1"/>
    <xf numFmtId="0" fontId="2" fillId="0" borderId="12" xfId="0" applyFont="1" applyBorder="1"/>
    <xf numFmtId="0" fontId="1" fillId="0" borderId="12" xfId="0" applyFont="1" applyBorder="1"/>
    <xf numFmtId="0" fontId="2" fillId="9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0" borderId="0" xfId="0" applyFont="1"/>
    <xf numFmtId="0" fontId="0" fillId="0" borderId="11" xfId="0" applyBorder="1" applyAlignment="1">
      <alignment horizontal="center" vertical="center"/>
    </xf>
    <xf numFmtId="0" fontId="7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5" borderId="11" xfId="0" applyFont="1" applyFill="1" applyBorder="1"/>
    <xf numFmtId="0" fontId="1" fillId="5" borderId="11" xfId="0" applyFont="1" applyFill="1" applyBorder="1"/>
    <xf numFmtId="0" fontId="0" fillId="5" borderId="11" xfId="0" applyFill="1" applyBorder="1"/>
    <xf numFmtId="0" fontId="7" fillId="8" borderId="5" xfId="0" applyFont="1" applyFill="1" applyBorder="1" applyAlignment="1">
      <alignment horizontal="center" textRotation="90" wrapText="1"/>
    </xf>
    <xf numFmtId="0" fontId="7" fillId="8" borderId="6" xfId="0" applyFont="1" applyFill="1" applyBorder="1" applyAlignment="1">
      <alignment horizontal="center" textRotation="90" wrapText="1"/>
    </xf>
    <xf numFmtId="0" fontId="7" fillId="8" borderId="7" xfId="0" applyFont="1" applyFill="1" applyBorder="1" applyAlignment="1">
      <alignment horizontal="center" textRotation="90" wrapText="1"/>
    </xf>
    <xf numFmtId="0" fontId="10" fillId="12" borderId="12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10" fillId="12" borderId="0" xfId="0" applyFont="1" applyFill="1"/>
    <xf numFmtId="0" fontId="10" fillId="13" borderId="0" xfId="0" applyFont="1" applyFill="1"/>
    <xf numFmtId="0" fontId="1" fillId="4" borderId="6" xfId="0" applyFont="1" applyFill="1" applyBorder="1" applyAlignment="1">
      <alignment horizontal="center" textRotation="90"/>
    </xf>
    <xf numFmtId="0" fontId="1" fillId="4" borderId="7" xfId="0" applyFont="1" applyFill="1" applyBorder="1" applyAlignment="1">
      <alignment horizontal="center" textRotation="90"/>
    </xf>
    <xf numFmtId="0" fontId="1" fillId="11" borderId="5" xfId="0" applyFont="1" applyFill="1" applyBorder="1" applyAlignment="1">
      <alignment horizontal="center" textRotation="90"/>
    </xf>
    <xf numFmtId="0" fontId="1" fillId="11" borderId="6" xfId="0" applyFont="1" applyFill="1" applyBorder="1" applyAlignment="1">
      <alignment horizontal="center" textRotation="90"/>
    </xf>
    <xf numFmtId="0" fontId="1" fillId="11" borderId="7" xfId="0" applyFont="1" applyFill="1" applyBorder="1" applyAlignment="1">
      <alignment horizontal="center" textRotation="90"/>
    </xf>
    <xf numFmtId="0" fontId="1" fillId="4" borderId="5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14" borderId="5" xfId="0" applyFont="1" applyFill="1" applyBorder="1" applyAlignment="1">
      <alignment horizontal="center" textRotation="90"/>
    </xf>
    <xf numFmtId="0" fontId="1" fillId="14" borderId="6" xfId="0" applyFont="1" applyFill="1" applyBorder="1" applyAlignment="1">
      <alignment horizontal="center" textRotation="90"/>
    </xf>
    <xf numFmtId="0" fontId="1" fillId="14" borderId="7" xfId="0" applyFont="1" applyFill="1" applyBorder="1" applyAlignment="1">
      <alignment horizontal="center" textRotation="90"/>
    </xf>
    <xf numFmtId="0" fontId="1" fillId="15" borderId="5" xfId="0" applyFont="1" applyFill="1" applyBorder="1" applyAlignment="1">
      <alignment horizontal="center" textRotation="90"/>
    </xf>
    <xf numFmtId="0" fontId="1" fillId="15" borderId="6" xfId="0" applyFont="1" applyFill="1" applyBorder="1" applyAlignment="1">
      <alignment horizontal="center" textRotation="90"/>
    </xf>
    <xf numFmtId="0" fontId="1" fillId="15" borderId="7" xfId="0" applyFont="1" applyFill="1" applyBorder="1" applyAlignment="1">
      <alignment horizontal="center" textRotation="90"/>
    </xf>
    <xf numFmtId="0" fontId="0" fillId="0" borderId="8" xfId="0" applyBorder="1"/>
    <xf numFmtId="0" fontId="0" fillId="0" borderId="10" xfId="0" applyBorder="1"/>
    <xf numFmtId="0" fontId="6" fillId="3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8" fillId="7" borderId="4" xfId="0" applyFont="1" applyFill="1" applyBorder="1" applyAlignment="1">
      <alignment horizontal="center" vertical="center" wrapText="1"/>
    </xf>
  </cellXfs>
  <cellStyles count="6">
    <cellStyle name="%" xfId="1" xr:uid="{00000000-0005-0000-0000-000001000000}"/>
    <cellStyle name="% 2" xfId="3" xr:uid="{00000000-0005-0000-0000-000003000000}"/>
    <cellStyle name="% 3" xfId="4" xr:uid="{00000000-0005-0000-0000-000004000000}"/>
    <cellStyle name="% 3 2" xfId="5" xr:uid="{00000000-0005-0000-0000-000005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39"/>
  <sheetViews>
    <sheetView tabSelected="1" zoomScale="106" zoomScaleNormal="106" workbookViewId="0">
      <pane xSplit="1" topLeftCell="B1" activePane="topRight" state="frozen"/>
      <selection pane="topRight" activeCell="AG36" sqref="AG36"/>
    </sheetView>
  </sheetViews>
  <sheetFormatPr baseColWidth="10" defaultColWidth="8.83203125" defaultRowHeight="13" x14ac:dyDescent="0.15"/>
  <cols>
    <col min="1" max="1" width="34" customWidth="1"/>
    <col min="2" max="36" width="4" customWidth="1"/>
    <col min="37" max="37" width="4.5" customWidth="1"/>
    <col min="38" max="38" width="4.83203125" customWidth="1"/>
    <col min="39" max="53" width="4" customWidth="1"/>
    <col min="54" max="54" width="3.6640625" customWidth="1"/>
    <col min="55" max="55" width="5.33203125" customWidth="1"/>
    <col min="56" max="56" width="4.6640625" customWidth="1"/>
    <col min="57" max="57" width="6.6640625" customWidth="1"/>
    <col min="58" max="58" width="6.33203125" customWidth="1"/>
    <col min="59" max="59" width="5.33203125" customWidth="1"/>
    <col min="60" max="61" width="5" customWidth="1"/>
    <col min="62" max="62" width="4.83203125" customWidth="1"/>
    <col min="63" max="63" width="6.83203125" customWidth="1"/>
  </cols>
  <sheetData>
    <row r="1" spans="1:63" ht="18" customHeight="1" x14ac:dyDescent="0.2">
      <c r="A1" s="1" t="s">
        <v>65</v>
      </c>
    </row>
    <row r="2" spans="1:63" ht="14" customHeight="1" thickBot="1" x14ac:dyDescent="0.2"/>
    <row r="3" spans="1:63" x14ac:dyDescent="0.15">
      <c r="B3" s="51" t="s">
        <v>0</v>
      </c>
      <c r="C3" s="49"/>
      <c r="D3" s="49"/>
      <c r="E3" s="49"/>
      <c r="F3" s="49"/>
      <c r="G3" s="49"/>
      <c r="H3" s="49"/>
      <c r="I3" s="50"/>
      <c r="J3" s="53" t="s">
        <v>1</v>
      </c>
      <c r="K3" s="49"/>
      <c r="L3" s="49"/>
      <c r="M3" s="49"/>
      <c r="N3" s="49"/>
      <c r="O3" s="50"/>
      <c r="P3" s="52" t="s">
        <v>2</v>
      </c>
      <c r="Q3" s="49"/>
      <c r="R3" s="49"/>
      <c r="S3" s="49"/>
      <c r="T3" s="49"/>
      <c r="U3" s="50"/>
      <c r="V3" s="51" t="s">
        <v>3</v>
      </c>
      <c r="W3" s="49"/>
      <c r="X3" s="49"/>
      <c r="Y3" s="49"/>
      <c r="Z3" s="49"/>
      <c r="AA3" s="50"/>
      <c r="AB3" s="51" t="s">
        <v>4</v>
      </c>
      <c r="AC3" s="49"/>
      <c r="AD3" s="49"/>
      <c r="AE3" s="49"/>
      <c r="AF3" s="50"/>
      <c r="AG3" s="51" t="s">
        <v>5</v>
      </c>
      <c r="AH3" s="49"/>
      <c r="AI3" s="49"/>
      <c r="AJ3" s="49"/>
      <c r="AK3" s="50"/>
      <c r="AL3" s="51" t="s">
        <v>66</v>
      </c>
      <c r="AM3" s="49"/>
      <c r="AN3" s="49"/>
      <c r="AO3" s="50"/>
      <c r="AP3" s="51" t="s">
        <v>6</v>
      </c>
      <c r="AQ3" s="49"/>
      <c r="AR3" s="49"/>
      <c r="AS3" s="49"/>
      <c r="AT3" s="49"/>
      <c r="AU3" s="49"/>
      <c r="AV3" s="49"/>
      <c r="AW3" s="49"/>
      <c r="AX3" s="50"/>
      <c r="AY3" s="51" t="s">
        <v>7</v>
      </c>
      <c r="AZ3" s="49"/>
      <c r="BA3" s="49"/>
      <c r="BB3" s="50"/>
      <c r="BC3" s="51" t="s">
        <v>67</v>
      </c>
      <c r="BD3" s="49"/>
      <c r="BE3" s="49"/>
      <c r="BF3" s="50"/>
      <c r="BG3" s="51" t="s">
        <v>8</v>
      </c>
      <c r="BH3" s="49"/>
      <c r="BI3" s="49"/>
      <c r="BJ3" s="50"/>
      <c r="BK3" s="4"/>
    </row>
    <row r="4" spans="1:63" ht="160" customHeight="1" thickBot="1" x14ac:dyDescent="0.2">
      <c r="B4" s="38" t="s">
        <v>9</v>
      </c>
      <c r="C4" s="39" t="s">
        <v>10</v>
      </c>
      <c r="D4" s="39" t="s">
        <v>11</v>
      </c>
      <c r="E4" s="39" t="s">
        <v>12</v>
      </c>
      <c r="F4" s="39" t="s">
        <v>13</v>
      </c>
      <c r="G4" s="36" t="s">
        <v>14</v>
      </c>
      <c r="H4" s="39" t="s">
        <v>15</v>
      </c>
      <c r="I4" s="40" t="s">
        <v>16</v>
      </c>
      <c r="J4" s="43" t="s">
        <v>17</v>
      </c>
      <c r="K4" s="44" t="s">
        <v>18</v>
      </c>
      <c r="L4" s="44" t="s">
        <v>19</v>
      </c>
      <c r="M4" s="44" t="s">
        <v>20</v>
      </c>
      <c r="N4" s="36" t="s">
        <v>21</v>
      </c>
      <c r="O4" s="45" t="s">
        <v>22</v>
      </c>
      <c r="P4" s="46" t="s">
        <v>23</v>
      </c>
      <c r="Q4" s="47" t="s">
        <v>24</v>
      </c>
      <c r="R4" s="47" t="s">
        <v>25</v>
      </c>
      <c r="S4" s="47" t="s">
        <v>26</v>
      </c>
      <c r="T4" s="47" t="s">
        <v>27</v>
      </c>
      <c r="U4" s="48" t="s">
        <v>28</v>
      </c>
      <c r="V4" s="43" t="s">
        <v>29</v>
      </c>
      <c r="W4" s="44" t="s">
        <v>30</v>
      </c>
      <c r="X4" s="47" t="s">
        <v>31</v>
      </c>
      <c r="Y4" s="36" t="s">
        <v>32</v>
      </c>
      <c r="Z4" s="36" t="s">
        <v>33</v>
      </c>
      <c r="AA4" s="37" t="s">
        <v>34</v>
      </c>
      <c r="AB4" s="46" t="s">
        <v>35</v>
      </c>
      <c r="AC4" s="44" t="s">
        <v>36</v>
      </c>
      <c r="AD4" s="47" t="s">
        <v>37</v>
      </c>
      <c r="AE4" s="36" t="s">
        <v>38</v>
      </c>
      <c r="AF4" s="37" t="s">
        <v>39</v>
      </c>
      <c r="AG4" s="41" t="s">
        <v>40</v>
      </c>
      <c r="AH4" s="36" t="s">
        <v>41</v>
      </c>
      <c r="AI4" s="36" t="s">
        <v>42</v>
      </c>
      <c r="AJ4" s="36" t="s">
        <v>43</v>
      </c>
      <c r="AK4" s="37" t="s">
        <v>44</v>
      </c>
      <c r="AL4" s="41" t="s">
        <v>45</v>
      </c>
      <c r="AM4" s="36" t="s">
        <v>46</v>
      </c>
      <c r="AN4" s="36" t="s">
        <v>47</v>
      </c>
      <c r="AO4" s="37" t="s">
        <v>48</v>
      </c>
      <c r="AP4" s="41" t="s">
        <v>49</v>
      </c>
      <c r="AQ4" s="36" t="s">
        <v>50</v>
      </c>
      <c r="AR4" s="36" t="s">
        <v>51</v>
      </c>
      <c r="AS4" s="36" t="s">
        <v>52</v>
      </c>
      <c r="AT4" s="36" t="s">
        <v>53</v>
      </c>
      <c r="AU4" s="36" t="s">
        <v>54</v>
      </c>
      <c r="AV4" s="36" t="s">
        <v>55</v>
      </c>
      <c r="AW4" s="36" t="s">
        <v>56</v>
      </c>
      <c r="AX4" s="37" t="s">
        <v>57</v>
      </c>
      <c r="AY4" s="41" t="s">
        <v>58</v>
      </c>
      <c r="AZ4" s="36" t="s">
        <v>68</v>
      </c>
      <c r="BA4" s="36" t="s">
        <v>69</v>
      </c>
      <c r="BB4" s="37" t="s">
        <v>59</v>
      </c>
      <c r="BC4" s="41" t="s">
        <v>60</v>
      </c>
      <c r="BD4" s="36" t="s">
        <v>61</v>
      </c>
      <c r="BE4" s="36" t="s">
        <v>70</v>
      </c>
      <c r="BF4" s="37" t="s">
        <v>71</v>
      </c>
      <c r="BG4" s="41" t="s">
        <v>62</v>
      </c>
      <c r="BH4" s="36" t="s">
        <v>63</v>
      </c>
      <c r="BI4" s="36" t="s">
        <v>64</v>
      </c>
      <c r="BJ4" s="37" t="s">
        <v>72</v>
      </c>
      <c r="BK4" s="42" t="s">
        <v>73</v>
      </c>
    </row>
    <row r="5" spans="1:63" x14ac:dyDescent="0.15">
      <c r="A5" s="21" t="s">
        <v>74</v>
      </c>
      <c r="B5" s="15" t="s">
        <v>75</v>
      </c>
      <c r="C5" s="15" t="s">
        <v>75</v>
      </c>
      <c r="D5" s="15" t="s">
        <v>75</v>
      </c>
      <c r="E5" s="15" t="s">
        <v>75</v>
      </c>
      <c r="F5" s="15" t="s">
        <v>75</v>
      </c>
      <c r="G5" s="22">
        <v>1</v>
      </c>
      <c r="H5" s="15" t="s">
        <v>75</v>
      </c>
      <c r="I5" s="15" t="s">
        <v>75</v>
      </c>
      <c r="J5" s="30" t="s">
        <v>76</v>
      </c>
      <c r="K5" s="30" t="s">
        <v>76</v>
      </c>
      <c r="L5" s="30" t="s">
        <v>76</v>
      </c>
      <c r="M5" s="30" t="s">
        <v>76</v>
      </c>
      <c r="N5" s="23">
        <v>1</v>
      </c>
      <c r="O5" s="30" t="s">
        <v>76</v>
      </c>
      <c r="P5" s="31" t="s">
        <v>77</v>
      </c>
      <c r="Q5" s="31" t="s">
        <v>77</v>
      </c>
      <c r="R5" s="31" t="s">
        <v>77</v>
      </c>
      <c r="S5" s="31" t="s">
        <v>77</v>
      </c>
      <c r="T5" s="31" t="s">
        <v>77</v>
      </c>
      <c r="U5" s="31" t="s">
        <v>77</v>
      </c>
      <c r="V5" s="30" t="s">
        <v>76</v>
      </c>
      <c r="W5" s="30" t="s">
        <v>76</v>
      </c>
      <c r="X5" s="31" t="s">
        <v>77</v>
      </c>
      <c r="Y5" s="23">
        <v>1</v>
      </c>
      <c r="Z5" s="23">
        <v>1</v>
      </c>
      <c r="AA5" s="23">
        <v>1</v>
      </c>
      <c r="AB5" s="31" t="s">
        <v>77</v>
      </c>
      <c r="AC5" s="30" t="s">
        <v>76</v>
      </c>
      <c r="AD5" s="31" t="s">
        <v>77</v>
      </c>
      <c r="AE5" s="23">
        <v>1</v>
      </c>
      <c r="AF5" s="23">
        <v>1</v>
      </c>
      <c r="AG5" s="23">
        <v>1</v>
      </c>
      <c r="AH5" s="23">
        <v>1</v>
      </c>
      <c r="AI5" s="23">
        <v>1</v>
      </c>
      <c r="AJ5" s="23">
        <v>1</v>
      </c>
      <c r="AK5" s="23">
        <v>1</v>
      </c>
      <c r="AL5" s="23">
        <v>1</v>
      </c>
      <c r="AM5" s="23">
        <v>1</v>
      </c>
      <c r="AN5" s="23">
        <v>1</v>
      </c>
      <c r="AO5" s="23">
        <v>1</v>
      </c>
      <c r="AP5" s="23">
        <v>1</v>
      </c>
      <c r="AQ5" s="23">
        <v>1</v>
      </c>
      <c r="AR5" s="23">
        <v>1</v>
      </c>
      <c r="AS5" s="23">
        <v>1</v>
      </c>
      <c r="AT5" s="23">
        <v>1</v>
      </c>
      <c r="AU5" s="23">
        <v>1</v>
      </c>
      <c r="AV5" s="23">
        <v>1</v>
      </c>
      <c r="AW5" s="23">
        <v>1</v>
      </c>
      <c r="AX5" s="23">
        <v>1</v>
      </c>
      <c r="AY5" s="23">
        <v>1</v>
      </c>
      <c r="AZ5" s="23">
        <v>1</v>
      </c>
      <c r="BA5" s="23">
        <v>1</v>
      </c>
      <c r="BB5" s="23">
        <v>1</v>
      </c>
      <c r="BC5" s="23">
        <v>1</v>
      </c>
      <c r="BD5" s="23">
        <v>1</v>
      </c>
      <c r="BE5" s="23">
        <v>1</v>
      </c>
      <c r="BF5" s="23">
        <v>1</v>
      </c>
      <c r="BG5" s="23">
        <v>1</v>
      </c>
      <c r="BH5" s="23">
        <v>1</v>
      </c>
      <c r="BI5" s="23">
        <v>1</v>
      </c>
      <c r="BJ5" s="5">
        <v>1</v>
      </c>
      <c r="BK5" s="6">
        <f>SUM(B5:BJ5)</f>
        <v>37</v>
      </c>
    </row>
    <row r="6" spans="1:63" x14ac:dyDescent="0.15">
      <c r="A6" s="21" t="s">
        <v>78</v>
      </c>
      <c r="B6" s="15" t="s">
        <v>75</v>
      </c>
      <c r="C6" s="15" t="s">
        <v>75</v>
      </c>
      <c r="D6" s="15" t="s">
        <v>75</v>
      </c>
      <c r="E6" s="15" t="s">
        <v>75</v>
      </c>
      <c r="F6" s="15" t="s">
        <v>75</v>
      </c>
      <c r="G6" s="18">
        <v>1</v>
      </c>
      <c r="H6" s="15" t="s">
        <v>75</v>
      </c>
      <c r="I6" s="15" t="s">
        <v>75</v>
      </c>
      <c r="J6" s="32" t="s">
        <v>76</v>
      </c>
      <c r="K6" s="32" t="s">
        <v>76</v>
      </c>
      <c r="L6" s="32" t="s">
        <v>76</v>
      </c>
      <c r="M6" s="32" t="s">
        <v>76</v>
      </c>
      <c r="N6" s="20">
        <v>1</v>
      </c>
      <c r="O6" s="32" t="s">
        <v>76</v>
      </c>
      <c r="P6" s="33" t="s">
        <v>77</v>
      </c>
      <c r="Q6" s="33" t="s">
        <v>77</v>
      </c>
      <c r="R6" s="33" t="s">
        <v>77</v>
      </c>
      <c r="S6" s="33" t="s">
        <v>77</v>
      </c>
      <c r="T6" s="33" t="s">
        <v>77</v>
      </c>
      <c r="U6" s="33" t="s">
        <v>77</v>
      </c>
      <c r="V6" s="32" t="s">
        <v>76</v>
      </c>
      <c r="W6" s="32" t="s">
        <v>76</v>
      </c>
      <c r="X6" s="33" t="s">
        <v>77</v>
      </c>
      <c r="Y6" s="20">
        <v>1</v>
      </c>
      <c r="Z6" s="20">
        <v>1</v>
      </c>
      <c r="AA6" s="20">
        <v>1</v>
      </c>
      <c r="AB6" s="33" t="s">
        <v>77</v>
      </c>
      <c r="AC6" s="32" t="s">
        <v>76</v>
      </c>
      <c r="AD6" s="33" t="s">
        <v>77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J6" s="20">
        <v>1</v>
      </c>
      <c r="AK6" s="20">
        <v>1</v>
      </c>
      <c r="AL6" s="20">
        <v>1</v>
      </c>
      <c r="AM6" s="20">
        <v>1</v>
      </c>
      <c r="AN6" s="20">
        <v>1</v>
      </c>
      <c r="AO6" s="20">
        <v>1</v>
      </c>
      <c r="AP6" s="20">
        <v>1</v>
      </c>
      <c r="AQ6" s="20">
        <v>1</v>
      </c>
      <c r="AR6" s="20">
        <v>1</v>
      </c>
      <c r="AS6" s="20">
        <v>1</v>
      </c>
      <c r="AT6" s="20">
        <v>1</v>
      </c>
      <c r="AU6" s="20">
        <v>1</v>
      </c>
      <c r="AV6" s="20">
        <v>1</v>
      </c>
      <c r="AW6" s="20">
        <v>1</v>
      </c>
      <c r="AX6" s="20">
        <v>1</v>
      </c>
      <c r="AY6" s="20">
        <v>1</v>
      </c>
      <c r="AZ6" s="20">
        <v>1</v>
      </c>
      <c r="BA6" s="20">
        <v>1</v>
      </c>
      <c r="BB6" s="20">
        <v>1</v>
      </c>
      <c r="BC6" s="20">
        <v>1</v>
      </c>
      <c r="BD6" s="20">
        <v>1</v>
      </c>
      <c r="BE6" s="20">
        <v>1</v>
      </c>
      <c r="BF6" s="20">
        <v>1</v>
      </c>
      <c r="BG6" s="20">
        <v>1</v>
      </c>
      <c r="BH6" s="20">
        <v>1</v>
      </c>
      <c r="BI6" s="20">
        <v>1</v>
      </c>
      <c r="BJ6" s="2">
        <v>1</v>
      </c>
      <c r="BK6" s="6">
        <f>SUM(B6:BJ6)</f>
        <v>37</v>
      </c>
    </row>
    <row r="7" spans="1:63" x14ac:dyDescent="0.15">
      <c r="A7" s="24" t="s">
        <v>79</v>
      </c>
      <c r="B7" s="25"/>
      <c r="C7" s="25"/>
      <c r="D7" s="25"/>
      <c r="E7" s="25"/>
      <c r="F7" s="25"/>
      <c r="G7" s="25"/>
      <c r="H7" s="25"/>
      <c r="I7" s="25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3"/>
      <c r="BK7" s="6"/>
    </row>
    <row r="8" spans="1:63" x14ac:dyDescent="0.15">
      <c r="A8" s="21" t="s">
        <v>80</v>
      </c>
      <c r="B8" s="16" t="s">
        <v>75</v>
      </c>
      <c r="C8" s="17" t="s">
        <v>75</v>
      </c>
      <c r="D8" s="17" t="s">
        <v>75</v>
      </c>
      <c r="E8" s="17" t="s">
        <v>75</v>
      </c>
      <c r="F8" s="17" t="s">
        <v>75</v>
      </c>
      <c r="G8" s="18">
        <v>1</v>
      </c>
      <c r="H8" s="15" t="s">
        <v>75</v>
      </c>
      <c r="I8" s="15" t="s">
        <v>75</v>
      </c>
      <c r="J8" s="32" t="s">
        <v>76</v>
      </c>
      <c r="K8" s="32" t="s">
        <v>76</v>
      </c>
      <c r="L8" s="32" t="s">
        <v>76</v>
      </c>
      <c r="M8" s="32" t="s">
        <v>76</v>
      </c>
      <c r="N8" s="20">
        <v>1</v>
      </c>
      <c r="O8" s="32" t="s">
        <v>76</v>
      </c>
      <c r="P8" s="33" t="s">
        <v>77</v>
      </c>
      <c r="Q8" s="33" t="s">
        <v>77</v>
      </c>
      <c r="R8" s="33" t="s">
        <v>77</v>
      </c>
      <c r="S8" s="33" t="s">
        <v>77</v>
      </c>
      <c r="T8" s="33" t="s">
        <v>77</v>
      </c>
      <c r="U8" s="33" t="s">
        <v>77</v>
      </c>
      <c r="V8" s="32" t="s">
        <v>76</v>
      </c>
      <c r="W8" s="32" t="s">
        <v>76</v>
      </c>
      <c r="X8" s="33" t="s">
        <v>77</v>
      </c>
      <c r="Y8" s="20">
        <v>1</v>
      </c>
      <c r="Z8" s="20">
        <v>1</v>
      </c>
      <c r="AA8" s="20">
        <v>1</v>
      </c>
      <c r="AB8" s="33" t="s">
        <v>77</v>
      </c>
      <c r="AC8" s="32" t="s">
        <v>76</v>
      </c>
      <c r="AD8" s="33" t="s">
        <v>77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J8" s="20">
        <v>1</v>
      </c>
      <c r="AK8" s="20">
        <v>1</v>
      </c>
      <c r="AL8" s="20">
        <v>1</v>
      </c>
      <c r="AM8" s="20">
        <v>1</v>
      </c>
      <c r="AN8" s="20">
        <v>1</v>
      </c>
      <c r="AO8" s="20">
        <v>1</v>
      </c>
      <c r="AP8" s="20">
        <v>1</v>
      </c>
      <c r="AQ8" s="20">
        <v>1</v>
      </c>
      <c r="AR8" s="20">
        <v>1</v>
      </c>
      <c r="AS8" s="20">
        <v>1</v>
      </c>
      <c r="AT8" s="20">
        <v>1</v>
      </c>
      <c r="AU8" s="20">
        <v>1</v>
      </c>
      <c r="AV8" s="20">
        <v>1</v>
      </c>
      <c r="AW8" s="20">
        <v>1</v>
      </c>
      <c r="AX8" s="20">
        <v>1</v>
      </c>
      <c r="AY8" s="20">
        <v>1</v>
      </c>
      <c r="AZ8" s="20">
        <v>1</v>
      </c>
      <c r="BA8" s="20">
        <v>1</v>
      </c>
      <c r="BB8" s="20">
        <v>1</v>
      </c>
      <c r="BC8" s="20">
        <v>1</v>
      </c>
      <c r="BD8" s="20">
        <v>1</v>
      </c>
      <c r="BE8" s="20">
        <v>1</v>
      </c>
      <c r="BF8" s="20">
        <v>1</v>
      </c>
      <c r="BG8" s="20">
        <v>1</v>
      </c>
      <c r="BH8" s="20">
        <v>1</v>
      </c>
      <c r="BI8" s="20">
        <v>1</v>
      </c>
      <c r="BJ8" s="2">
        <v>1</v>
      </c>
      <c r="BK8" s="6">
        <f t="shared" ref="BK8:BK30" si="0">SUM(B8:BJ8)</f>
        <v>37</v>
      </c>
    </row>
    <row r="9" spans="1:63" x14ac:dyDescent="0.15">
      <c r="A9" s="21" t="s">
        <v>81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5" t="s">
        <v>75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33" t="s">
        <v>77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1</v>
      </c>
      <c r="AH9" s="20">
        <v>1</v>
      </c>
      <c r="AI9" s="20">
        <v>1</v>
      </c>
      <c r="AJ9" s="20">
        <v>1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1</v>
      </c>
      <c r="AQ9" s="20">
        <v>1</v>
      </c>
      <c r="AR9" s="20">
        <v>1</v>
      </c>
      <c r="AS9" s="20">
        <v>1</v>
      </c>
      <c r="AT9" s="20">
        <v>1</v>
      </c>
      <c r="AU9" s="20">
        <v>1</v>
      </c>
      <c r="AV9" s="20">
        <v>1</v>
      </c>
      <c r="AW9" s="20">
        <v>1</v>
      </c>
      <c r="AX9" s="20">
        <v>1</v>
      </c>
      <c r="AY9" s="20">
        <v>1</v>
      </c>
      <c r="AZ9" s="20">
        <v>1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1</v>
      </c>
      <c r="BH9" s="20">
        <v>0</v>
      </c>
      <c r="BI9" s="20">
        <v>0</v>
      </c>
      <c r="BJ9" s="2">
        <v>1</v>
      </c>
      <c r="BK9" s="6">
        <f t="shared" si="0"/>
        <v>17</v>
      </c>
    </row>
    <row r="10" spans="1:63" x14ac:dyDescent="0.15">
      <c r="A10" s="21" t="s">
        <v>82</v>
      </c>
      <c r="B10" s="15" t="s">
        <v>75</v>
      </c>
      <c r="C10" s="15" t="s">
        <v>75</v>
      </c>
      <c r="D10" s="18">
        <v>0</v>
      </c>
      <c r="E10" s="18">
        <v>0</v>
      </c>
      <c r="F10" s="15" t="s">
        <v>75</v>
      </c>
      <c r="G10" s="18">
        <v>1</v>
      </c>
      <c r="H10" s="15" t="s">
        <v>75</v>
      </c>
      <c r="I10" s="18">
        <v>0</v>
      </c>
      <c r="J10" s="20">
        <v>0</v>
      </c>
      <c r="K10" s="20">
        <v>0</v>
      </c>
      <c r="L10" s="20">
        <v>0</v>
      </c>
      <c r="M10" s="32" t="s">
        <v>76</v>
      </c>
      <c r="N10" s="20">
        <v>0</v>
      </c>
      <c r="O10" s="20">
        <v>0</v>
      </c>
      <c r="P10" s="33" t="s">
        <v>77</v>
      </c>
      <c r="Q10" s="33" t="s">
        <v>77</v>
      </c>
      <c r="R10" s="33" t="s">
        <v>77</v>
      </c>
      <c r="S10" s="33" t="s">
        <v>77</v>
      </c>
      <c r="T10" s="33" t="s">
        <v>77</v>
      </c>
      <c r="U10" s="20">
        <v>0</v>
      </c>
      <c r="V10" s="32" t="s">
        <v>76</v>
      </c>
      <c r="W10" s="32" t="s">
        <v>76</v>
      </c>
      <c r="X10" s="33" t="s">
        <v>77</v>
      </c>
      <c r="Y10" s="20">
        <v>1</v>
      </c>
      <c r="Z10" s="20">
        <v>0</v>
      </c>
      <c r="AA10" s="20">
        <v>1</v>
      </c>
      <c r="AB10" s="33" t="s">
        <v>77</v>
      </c>
      <c r="AC10" s="32" t="s">
        <v>76</v>
      </c>
      <c r="AD10" s="20">
        <v>0</v>
      </c>
      <c r="AE10" s="20">
        <v>0</v>
      </c>
      <c r="AF10" s="20">
        <v>0</v>
      </c>
      <c r="AG10" s="20">
        <v>1</v>
      </c>
      <c r="AH10" s="20">
        <v>1</v>
      </c>
      <c r="AI10" s="20">
        <v>1</v>
      </c>
      <c r="AJ10" s="20">
        <v>0</v>
      </c>
      <c r="AK10" s="20">
        <v>1</v>
      </c>
      <c r="AL10" s="20">
        <v>1</v>
      </c>
      <c r="AM10" s="20">
        <v>0</v>
      </c>
      <c r="AN10" s="20">
        <v>1</v>
      </c>
      <c r="AO10" s="20">
        <v>1</v>
      </c>
      <c r="AP10" s="20">
        <v>0</v>
      </c>
      <c r="AQ10" s="20">
        <v>1</v>
      </c>
      <c r="AR10" s="20">
        <v>1</v>
      </c>
      <c r="AS10" s="20">
        <v>1</v>
      </c>
      <c r="AT10" s="20">
        <v>1</v>
      </c>
      <c r="AU10" s="20">
        <v>0</v>
      </c>
      <c r="AV10" s="20">
        <v>0</v>
      </c>
      <c r="AW10" s="20">
        <v>0</v>
      </c>
      <c r="AX10" s="20">
        <v>0</v>
      </c>
      <c r="AY10" s="20">
        <v>1</v>
      </c>
      <c r="AZ10" s="20">
        <v>1</v>
      </c>
      <c r="BA10" s="20">
        <v>1</v>
      </c>
      <c r="BB10" s="20">
        <v>1</v>
      </c>
      <c r="BC10" s="20">
        <v>1</v>
      </c>
      <c r="BD10" s="20">
        <v>1</v>
      </c>
      <c r="BE10" s="20">
        <v>1</v>
      </c>
      <c r="BF10" s="20">
        <v>1</v>
      </c>
      <c r="BG10" s="20">
        <v>1</v>
      </c>
      <c r="BH10" s="20">
        <v>1</v>
      </c>
      <c r="BI10" s="20">
        <v>1</v>
      </c>
      <c r="BJ10" s="2">
        <v>0</v>
      </c>
      <c r="BK10" s="6">
        <f t="shared" si="0"/>
        <v>25</v>
      </c>
    </row>
    <row r="11" spans="1:63" x14ac:dyDescent="0.15">
      <c r="A11" s="21" t="s">
        <v>83</v>
      </c>
      <c r="B11" s="18">
        <v>0</v>
      </c>
      <c r="C11" s="15" t="s">
        <v>75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32" t="s">
        <v>76</v>
      </c>
      <c r="K11" s="20">
        <v>0</v>
      </c>
      <c r="L11" s="20">
        <v>0</v>
      </c>
      <c r="M11" s="20">
        <v>0</v>
      </c>
      <c r="N11" s="20">
        <v>1</v>
      </c>
      <c r="O11" s="32" t="s">
        <v>76</v>
      </c>
      <c r="P11" s="33" t="s">
        <v>77</v>
      </c>
      <c r="Q11" s="33" t="s">
        <v>77</v>
      </c>
      <c r="R11" s="33" t="s">
        <v>77</v>
      </c>
      <c r="S11" s="33" t="s">
        <v>77</v>
      </c>
      <c r="T11" s="20">
        <v>0</v>
      </c>
      <c r="U11" s="20">
        <v>0</v>
      </c>
      <c r="V11" s="32" t="s">
        <v>76</v>
      </c>
      <c r="W11" s="32" t="s">
        <v>76</v>
      </c>
      <c r="X11" s="33" t="s">
        <v>77</v>
      </c>
      <c r="Y11" s="20">
        <v>0</v>
      </c>
      <c r="Z11" s="20">
        <v>0</v>
      </c>
      <c r="AA11" s="20">
        <v>1</v>
      </c>
      <c r="AB11" s="33" t="s">
        <v>77</v>
      </c>
      <c r="AC11" s="32" t="s">
        <v>76</v>
      </c>
      <c r="AD11" s="33" t="s">
        <v>77</v>
      </c>
      <c r="AE11" s="20">
        <v>0</v>
      </c>
      <c r="AF11" s="20">
        <v>1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1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">
        <v>0</v>
      </c>
      <c r="BK11" s="6">
        <f t="shared" si="0"/>
        <v>4</v>
      </c>
    </row>
    <row r="12" spans="1:63" x14ac:dyDescent="0.15">
      <c r="A12" s="21" t="s">
        <v>84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1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1</v>
      </c>
      <c r="AZ12" s="20">
        <v>1</v>
      </c>
      <c r="BA12" s="20">
        <v>1</v>
      </c>
      <c r="BB12" s="20">
        <v>1</v>
      </c>
      <c r="BC12" s="20">
        <v>1</v>
      </c>
      <c r="BD12" s="20">
        <v>1</v>
      </c>
      <c r="BE12" s="20">
        <v>1</v>
      </c>
      <c r="BF12" s="20">
        <v>1</v>
      </c>
      <c r="BG12" s="20">
        <v>0</v>
      </c>
      <c r="BH12" s="20">
        <v>0</v>
      </c>
      <c r="BI12" s="20">
        <v>0</v>
      </c>
      <c r="BJ12" s="2">
        <v>0</v>
      </c>
      <c r="BK12" s="6">
        <f t="shared" si="0"/>
        <v>9</v>
      </c>
    </row>
    <row r="13" spans="1:63" x14ac:dyDescent="0.15">
      <c r="A13" s="21" t="s">
        <v>85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33" t="s">
        <v>77</v>
      </c>
      <c r="Q13" s="33" t="s">
        <v>77</v>
      </c>
      <c r="R13" s="33" t="s">
        <v>77</v>
      </c>
      <c r="S13" s="33" t="s">
        <v>77</v>
      </c>
      <c r="T13" s="33" t="s">
        <v>77</v>
      </c>
      <c r="U13" s="33" t="s">
        <v>77</v>
      </c>
      <c r="V13" s="20">
        <v>0</v>
      </c>
      <c r="W13" s="32" t="s">
        <v>76</v>
      </c>
      <c r="X13" s="33" t="s">
        <v>77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">
        <v>0</v>
      </c>
      <c r="BK13" s="6">
        <f t="shared" si="0"/>
        <v>0</v>
      </c>
    </row>
    <row r="14" spans="1:63" x14ac:dyDescent="0.15">
      <c r="A14" s="21" t="s">
        <v>86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33" t="s">
        <v>77</v>
      </c>
      <c r="R14" s="20">
        <v>0</v>
      </c>
      <c r="S14" s="33" t="s">
        <v>77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1</v>
      </c>
      <c r="AH14" s="20">
        <v>1</v>
      </c>
      <c r="AI14" s="20">
        <v>1</v>
      </c>
      <c r="AJ14" s="20">
        <v>1</v>
      </c>
      <c r="AK14" s="20">
        <v>1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1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">
        <v>0</v>
      </c>
      <c r="BK14" s="6">
        <f t="shared" si="0"/>
        <v>6</v>
      </c>
    </row>
    <row r="15" spans="1:63" x14ac:dyDescent="0.15">
      <c r="A15" s="21" t="s">
        <v>87</v>
      </c>
      <c r="B15" s="15" t="s">
        <v>75</v>
      </c>
      <c r="C15" s="15" t="s">
        <v>75</v>
      </c>
      <c r="D15" s="15" t="s">
        <v>75</v>
      </c>
      <c r="E15" s="18">
        <v>0</v>
      </c>
      <c r="F15" s="15" t="s">
        <v>75</v>
      </c>
      <c r="G15" s="18">
        <v>0</v>
      </c>
      <c r="H15" s="18">
        <v>0</v>
      </c>
      <c r="I15" s="15" t="s">
        <v>75</v>
      </c>
      <c r="J15" s="32" t="s">
        <v>76</v>
      </c>
      <c r="K15" s="32" t="s">
        <v>76</v>
      </c>
      <c r="L15" s="32" t="s">
        <v>76</v>
      </c>
      <c r="M15" s="20">
        <v>0</v>
      </c>
      <c r="N15" s="20">
        <v>0</v>
      </c>
      <c r="O15" s="20">
        <v>0</v>
      </c>
      <c r="P15" s="20">
        <v>0</v>
      </c>
      <c r="Q15" s="33" t="s">
        <v>77</v>
      </c>
      <c r="R15" s="33" t="s">
        <v>77</v>
      </c>
      <c r="S15" s="20">
        <v>0</v>
      </c>
      <c r="T15" s="20">
        <v>0</v>
      </c>
      <c r="U15" s="20">
        <v>0</v>
      </c>
      <c r="V15" s="32" t="s">
        <v>76</v>
      </c>
      <c r="W15" s="32" t="s">
        <v>76</v>
      </c>
      <c r="X15" s="33" t="s">
        <v>77</v>
      </c>
      <c r="Y15" s="20">
        <v>0</v>
      </c>
      <c r="Z15" s="20">
        <v>0</v>
      </c>
      <c r="AA15" s="20">
        <v>1</v>
      </c>
      <c r="AB15" s="33" t="s">
        <v>77</v>
      </c>
      <c r="AC15" s="32" t="s">
        <v>76</v>
      </c>
      <c r="AD15" s="20">
        <v>0</v>
      </c>
      <c r="AE15" s="20">
        <v>0</v>
      </c>
      <c r="AF15" s="20">
        <v>0</v>
      </c>
      <c r="AG15" s="20">
        <v>1</v>
      </c>
      <c r="AH15" s="20">
        <v>1</v>
      </c>
      <c r="AI15" s="20">
        <v>1</v>
      </c>
      <c r="AJ15" s="20">
        <v>1</v>
      </c>
      <c r="AK15" s="20">
        <v>0</v>
      </c>
      <c r="AL15" s="20">
        <v>0</v>
      </c>
      <c r="AM15" s="20">
        <v>0</v>
      </c>
      <c r="AN15" s="20">
        <v>1</v>
      </c>
      <c r="AO15" s="20">
        <v>1</v>
      </c>
      <c r="AP15" s="20">
        <v>0</v>
      </c>
      <c r="AQ15" s="20">
        <v>1</v>
      </c>
      <c r="AR15" s="20">
        <v>1</v>
      </c>
      <c r="AS15" s="20">
        <v>1</v>
      </c>
      <c r="AT15" s="20">
        <v>1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1</v>
      </c>
      <c r="BB15" s="20">
        <v>0</v>
      </c>
      <c r="BC15" s="20">
        <v>0</v>
      </c>
      <c r="BD15" s="20">
        <v>1</v>
      </c>
      <c r="BE15" s="20">
        <v>0</v>
      </c>
      <c r="BF15" s="20">
        <v>0</v>
      </c>
      <c r="BG15" s="20">
        <v>1</v>
      </c>
      <c r="BH15" s="20">
        <v>0</v>
      </c>
      <c r="BI15" s="20">
        <v>0</v>
      </c>
      <c r="BJ15" s="2">
        <v>0</v>
      </c>
      <c r="BK15" s="6">
        <f t="shared" si="0"/>
        <v>14</v>
      </c>
    </row>
    <row r="16" spans="1:63" x14ac:dyDescent="0.15">
      <c r="A16" s="21" t="s">
        <v>88</v>
      </c>
      <c r="B16" s="18">
        <v>0</v>
      </c>
      <c r="C16" s="18">
        <v>0</v>
      </c>
      <c r="D16" s="18">
        <v>0</v>
      </c>
      <c r="E16" s="18">
        <v>0</v>
      </c>
      <c r="F16" s="15" t="s">
        <v>75</v>
      </c>
      <c r="G16" s="18">
        <v>1</v>
      </c>
      <c r="H16" s="18">
        <v>0</v>
      </c>
      <c r="I16" s="18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33" t="s">
        <v>77</v>
      </c>
      <c r="Q16" s="33" t="s">
        <v>77</v>
      </c>
      <c r="R16" s="33" t="s">
        <v>77</v>
      </c>
      <c r="S16" s="33" t="s">
        <v>77</v>
      </c>
      <c r="T16" s="20">
        <v>0</v>
      </c>
      <c r="U16" s="20">
        <v>0</v>
      </c>
      <c r="V16" s="20">
        <v>0</v>
      </c>
      <c r="W16" s="32" t="s">
        <v>76</v>
      </c>
      <c r="X16" s="33" t="s">
        <v>77</v>
      </c>
      <c r="Y16" s="20">
        <v>0</v>
      </c>
      <c r="Z16" s="20">
        <v>0</v>
      </c>
      <c r="AA16" s="20">
        <v>0</v>
      </c>
      <c r="AB16" s="33" t="s">
        <v>77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1</v>
      </c>
      <c r="AJ16" s="20">
        <v>1</v>
      </c>
      <c r="AK16" s="20">
        <v>0</v>
      </c>
      <c r="AL16" s="20">
        <v>0</v>
      </c>
      <c r="AM16" s="20">
        <v>0</v>
      </c>
      <c r="AN16" s="20">
        <v>0</v>
      </c>
      <c r="AO16" s="20">
        <v>1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1</v>
      </c>
      <c r="BB16" s="20">
        <v>0</v>
      </c>
      <c r="BC16" s="20">
        <v>0</v>
      </c>
      <c r="BD16" s="20">
        <v>0</v>
      </c>
      <c r="BE16" s="20">
        <v>1</v>
      </c>
      <c r="BF16" s="20">
        <v>1</v>
      </c>
      <c r="BG16" s="20">
        <v>0</v>
      </c>
      <c r="BH16" s="20">
        <v>0</v>
      </c>
      <c r="BI16" s="20">
        <v>0</v>
      </c>
      <c r="BJ16" s="2">
        <v>0</v>
      </c>
      <c r="BK16" s="6">
        <f t="shared" si="0"/>
        <v>7</v>
      </c>
    </row>
    <row r="17" spans="1:63" x14ac:dyDescent="0.15">
      <c r="A17" s="21" t="s">
        <v>89</v>
      </c>
      <c r="B17" s="15" t="s">
        <v>75</v>
      </c>
      <c r="C17" s="15" t="s">
        <v>75</v>
      </c>
      <c r="D17" s="18">
        <v>0</v>
      </c>
      <c r="E17" s="18">
        <v>0</v>
      </c>
      <c r="F17" s="15" t="s">
        <v>75</v>
      </c>
      <c r="G17" s="18">
        <v>0</v>
      </c>
      <c r="H17" s="18">
        <v>0</v>
      </c>
      <c r="I17" s="18">
        <v>0</v>
      </c>
      <c r="J17" s="20">
        <v>0</v>
      </c>
      <c r="K17" s="20">
        <v>0</v>
      </c>
      <c r="L17" s="20">
        <v>0</v>
      </c>
      <c r="M17" s="20">
        <v>0</v>
      </c>
      <c r="N17" s="20">
        <v>1</v>
      </c>
      <c r="O17" s="20">
        <v>0</v>
      </c>
      <c r="P17" s="33" t="s">
        <v>77</v>
      </c>
      <c r="Q17" s="33" t="s">
        <v>77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32" t="s">
        <v>76</v>
      </c>
      <c r="X17" s="33" t="s">
        <v>77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1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1</v>
      </c>
      <c r="AR17" s="20">
        <v>0</v>
      </c>
      <c r="AS17" s="20">
        <v>0</v>
      </c>
      <c r="AT17" s="20">
        <v>1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1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">
        <v>0</v>
      </c>
      <c r="BK17" s="6">
        <f t="shared" si="0"/>
        <v>5</v>
      </c>
    </row>
    <row r="18" spans="1:63" x14ac:dyDescent="0.15">
      <c r="A18" s="21" t="s">
        <v>90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20">
        <v>0</v>
      </c>
      <c r="K18" s="20">
        <v>0</v>
      </c>
      <c r="L18" s="20">
        <v>0</v>
      </c>
      <c r="M18" s="20">
        <v>0</v>
      </c>
      <c r="N18" s="20">
        <v>1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32" t="s">
        <v>76</v>
      </c>
      <c r="AD18" s="20">
        <v>0</v>
      </c>
      <c r="AE18" s="20">
        <v>0</v>
      </c>
      <c r="AF18" s="20">
        <v>1</v>
      </c>
      <c r="AG18" s="20">
        <v>1</v>
      </c>
      <c r="AH18" s="20">
        <v>1</v>
      </c>
      <c r="AI18" s="20">
        <v>0</v>
      </c>
      <c r="AJ18" s="20">
        <v>1</v>
      </c>
      <c r="AK18" s="20">
        <v>0</v>
      </c>
      <c r="AL18" s="20">
        <v>1</v>
      </c>
      <c r="AM18" s="20">
        <v>1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1</v>
      </c>
      <c r="AV18" s="20">
        <v>1</v>
      </c>
      <c r="AW18" s="20">
        <v>1</v>
      </c>
      <c r="AX18" s="20">
        <v>1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">
        <v>0</v>
      </c>
      <c r="BK18" s="6">
        <f t="shared" si="0"/>
        <v>11</v>
      </c>
    </row>
    <row r="19" spans="1:63" x14ac:dyDescent="0.15">
      <c r="A19" s="21" t="s">
        <v>91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5" t="s">
        <v>75</v>
      </c>
      <c r="I19" s="18">
        <v>0</v>
      </c>
      <c r="J19" s="32" t="s">
        <v>76</v>
      </c>
      <c r="K19" s="32" t="s">
        <v>76</v>
      </c>
      <c r="L19" s="32" t="s">
        <v>76</v>
      </c>
      <c r="M19" s="20">
        <v>0</v>
      </c>
      <c r="N19" s="20">
        <v>1</v>
      </c>
      <c r="O19" s="32" t="s">
        <v>76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32" t="s">
        <v>76</v>
      </c>
      <c r="W19" s="20">
        <v>0</v>
      </c>
      <c r="X19" s="20">
        <v>0</v>
      </c>
      <c r="Y19" s="20">
        <v>1</v>
      </c>
      <c r="Z19" s="20">
        <v>0</v>
      </c>
      <c r="AA19" s="20">
        <v>0</v>
      </c>
      <c r="AB19" s="20">
        <v>0</v>
      </c>
      <c r="AC19" s="20">
        <v>0</v>
      </c>
      <c r="AD19" s="33" t="s">
        <v>77</v>
      </c>
      <c r="AE19" s="20">
        <v>0</v>
      </c>
      <c r="AF19" s="20">
        <v>1</v>
      </c>
      <c r="AG19" s="20">
        <v>0</v>
      </c>
      <c r="AH19" s="20">
        <v>0</v>
      </c>
      <c r="AI19" s="20">
        <v>0</v>
      </c>
      <c r="AJ19" s="20">
        <v>0</v>
      </c>
      <c r="AK19" s="20">
        <v>1</v>
      </c>
      <c r="AL19" s="20">
        <v>1</v>
      </c>
      <c r="AM19" s="20">
        <v>1</v>
      </c>
      <c r="AN19" s="20">
        <v>0</v>
      </c>
      <c r="AO19" s="20">
        <v>0</v>
      </c>
      <c r="AP19" s="20">
        <v>1</v>
      </c>
      <c r="AQ19" s="20">
        <v>0</v>
      </c>
      <c r="AR19" s="20">
        <v>0</v>
      </c>
      <c r="AS19" s="20">
        <v>0</v>
      </c>
      <c r="AT19" s="20">
        <v>1</v>
      </c>
      <c r="AU19" s="20">
        <v>0</v>
      </c>
      <c r="AV19" s="20">
        <v>0</v>
      </c>
      <c r="AW19" s="20">
        <v>0</v>
      </c>
      <c r="AX19" s="20">
        <v>0</v>
      </c>
      <c r="AY19" s="20">
        <v>1</v>
      </c>
      <c r="AZ19" s="20">
        <v>1</v>
      </c>
      <c r="BA19" s="20">
        <v>0</v>
      </c>
      <c r="BB19" s="20">
        <v>1</v>
      </c>
      <c r="BC19" s="20">
        <v>1</v>
      </c>
      <c r="BD19" s="20">
        <v>0</v>
      </c>
      <c r="BE19" s="20">
        <v>0</v>
      </c>
      <c r="BF19" s="20">
        <v>0</v>
      </c>
      <c r="BG19" s="20">
        <v>0</v>
      </c>
      <c r="BH19" s="20">
        <v>1</v>
      </c>
      <c r="BI19" s="20">
        <v>1</v>
      </c>
      <c r="BJ19" s="2">
        <v>0</v>
      </c>
      <c r="BK19" s="6">
        <f t="shared" si="0"/>
        <v>14</v>
      </c>
    </row>
    <row r="20" spans="1:63" x14ac:dyDescent="0.15">
      <c r="A20" s="21" t="s">
        <v>92</v>
      </c>
      <c r="B20" s="18">
        <v>0</v>
      </c>
      <c r="C20" s="18">
        <v>0</v>
      </c>
      <c r="D20" s="18">
        <v>0</v>
      </c>
      <c r="E20" s="18">
        <v>0</v>
      </c>
      <c r="F20" s="15" t="s">
        <v>75</v>
      </c>
      <c r="G20" s="18">
        <v>1</v>
      </c>
      <c r="H20" s="18">
        <v>0</v>
      </c>
      <c r="I20" s="18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33" t="s">
        <v>77</v>
      </c>
      <c r="Q20" s="20">
        <v>0</v>
      </c>
      <c r="R20" s="33" t="s">
        <v>77</v>
      </c>
      <c r="S20" s="33" t="s">
        <v>77</v>
      </c>
      <c r="T20" s="20">
        <v>0</v>
      </c>
      <c r="U20" s="20">
        <v>0</v>
      </c>
      <c r="V20" s="20">
        <v>0</v>
      </c>
      <c r="W20" s="32" t="s">
        <v>76</v>
      </c>
      <c r="X20" s="33" t="s">
        <v>77</v>
      </c>
      <c r="Y20" s="20">
        <v>0</v>
      </c>
      <c r="Z20" s="20">
        <v>0</v>
      </c>
      <c r="AA20" s="20">
        <v>1</v>
      </c>
      <c r="AB20" s="33" t="s">
        <v>77</v>
      </c>
      <c r="AC20" s="32" t="s">
        <v>76</v>
      </c>
      <c r="AD20" s="20">
        <v>0</v>
      </c>
      <c r="AE20" s="20">
        <v>0</v>
      </c>
      <c r="AF20" s="20">
        <v>0</v>
      </c>
      <c r="AG20" s="20">
        <v>1</v>
      </c>
      <c r="AH20" s="20">
        <v>0</v>
      </c>
      <c r="AI20" s="20">
        <v>0</v>
      </c>
      <c r="AJ20" s="20">
        <v>1</v>
      </c>
      <c r="AK20" s="20">
        <v>0</v>
      </c>
      <c r="AL20" s="20">
        <v>0</v>
      </c>
      <c r="AM20" s="20">
        <v>0</v>
      </c>
      <c r="AN20" s="20">
        <v>1</v>
      </c>
      <c r="AO20" s="20">
        <v>1</v>
      </c>
      <c r="AP20" s="20">
        <v>0</v>
      </c>
      <c r="AQ20" s="20">
        <v>1</v>
      </c>
      <c r="AR20" s="20">
        <v>1</v>
      </c>
      <c r="AS20" s="20">
        <v>1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1</v>
      </c>
      <c r="BE20" s="20">
        <v>1</v>
      </c>
      <c r="BF20" s="20">
        <v>1</v>
      </c>
      <c r="BG20" s="20">
        <v>1</v>
      </c>
      <c r="BH20" s="20">
        <v>1</v>
      </c>
      <c r="BI20" s="20">
        <v>0</v>
      </c>
      <c r="BJ20" s="2">
        <v>0</v>
      </c>
      <c r="BK20" s="6">
        <f t="shared" si="0"/>
        <v>14</v>
      </c>
    </row>
    <row r="21" spans="1:63" x14ac:dyDescent="0.15">
      <c r="A21" s="21" t="s">
        <v>93</v>
      </c>
      <c r="B21" s="15" t="s">
        <v>75</v>
      </c>
      <c r="C21" s="15" t="s">
        <v>75</v>
      </c>
      <c r="D21" s="15" t="s">
        <v>75</v>
      </c>
      <c r="E21" s="15" t="s">
        <v>75</v>
      </c>
      <c r="F21" s="15" t="s">
        <v>75</v>
      </c>
      <c r="G21" s="18">
        <v>1</v>
      </c>
      <c r="H21" s="15" t="s">
        <v>75</v>
      </c>
      <c r="I21" s="15" t="s">
        <v>75</v>
      </c>
      <c r="J21" s="32" t="s">
        <v>76</v>
      </c>
      <c r="K21" s="32" t="s">
        <v>76</v>
      </c>
      <c r="L21" s="32" t="s">
        <v>76</v>
      </c>
      <c r="M21" s="32" t="s">
        <v>76</v>
      </c>
      <c r="N21" s="20">
        <v>1</v>
      </c>
      <c r="O21" s="32" t="s">
        <v>76</v>
      </c>
      <c r="P21" s="33" t="s">
        <v>77</v>
      </c>
      <c r="Q21" s="33" t="s">
        <v>77</v>
      </c>
      <c r="R21" s="33" t="s">
        <v>77</v>
      </c>
      <c r="S21" s="33" t="s">
        <v>77</v>
      </c>
      <c r="T21" s="33" t="s">
        <v>77</v>
      </c>
      <c r="U21" s="33" t="s">
        <v>77</v>
      </c>
      <c r="V21" s="32" t="s">
        <v>76</v>
      </c>
      <c r="W21" s="32" t="s">
        <v>76</v>
      </c>
      <c r="X21" s="33" t="s">
        <v>77</v>
      </c>
      <c r="Y21" s="20">
        <v>1</v>
      </c>
      <c r="Z21" s="20">
        <v>1</v>
      </c>
      <c r="AA21" s="20">
        <v>1</v>
      </c>
      <c r="AB21" s="33" t="s">
        <v>77</v>
      </c>
      <c r="AC21" s="32" t="s">
        <v>76</v>
      </c>
      <c r="AD21" s="33" t="s">
        <v>77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J21" s="20">
        <v>1</v>
      </c>
      <c r="AK21" s="20">
        <v>1</v>
      </c>
      <c r="AL21" s="20">
        <v>1</v>
      </c>
      <c r="AM21" s="20">
        <v>1</v>
      </c>
      <c r="AN21" s="20">
        <v>1</v>
      </c>
      <c r="AO21" s="20">
        <v>1</v>
      </c>
      <c r="AP21" s="20">
        <v>1</v>
      </c>
      <c r="AQ21" s="20">
        <v>1</v>
      </c>
      <c r="AR21" s="20">
        <v>1</v>
      </c>
      <c r="AS21" s="20">
        <v>1</v>
      </c>
      <c r="AT21" s="20">
        <v>1</v>
      </c>
      <c r="AU21" s="20">
        <v>1</v>
      </c>
      <c r="AV21" s="20">
        <v>1</v>
      </c>
      <c r="AW21" s="20">
        <v>1</v>
      </c>
      <c r="AX21" s="20">
        <v>1</v>
      </c>
      <c r="AY21" s="20">
        <v>1</v>
      </c>
      <c r="AZ21" s="20">
        <v>1</v>
      </c>
      <c r="BA21" s="20">
        <v>1</v>
      </c>
      <c r="BB21" s="20">
        <v>1</v>
      </c>
      <c r="BC21" s="20">
        <v>1</v>
      </c>
      <c r="BD21" s="20">
        <v>1</v>
      </c>
      <c r="BE21" s="20">
        <v>1</v>
      </c>
      <c r="BF21" s="20">
        <v>1</v>
      </c>
      <c r="BG21" s="20">
        <v>1</v>
      </c>
      <c r="BH21" s="20">
        <v>1</v>
      </c>
      <c r="BI21" s="20">
        <v>1</v>
      </c>
      <c r="BJ21" s="2">
        <v>1</v>
      </c>
      <c r="BK21" s="6">
        <f t="shared" si="0"/>
        <v>37</v>
      </c>
    </row>
    <row r="22" spans="1:63" x14ac:dyDescent="0.15">
      <c r="A22" s="21" t="s">
        <v>94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33" t="s">
        <v>77</v>
      </c>
      <c r="Q22" s="33" t="s">
        <v>77</v>
      </c>
      <c r="R22" s="33" t="s">
        <v>77</v>
      </c>
      <c r="S22" s="33" t="s">
        <v>77</v>
      </c>
      <c r="T22" s="33" t="s">
        <v>77</v>
      </c>
      <c r="U22" s="33" t="s">
        <v>77</v>
      </c>
      <c r="V22" s="20">
        <v>0</v>
      </c>
      <c r="W22" s="32" t="s">
        <v>76</v>
      </c>
      <c r="X22" s="33" t="s">
        <v>77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1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1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1</v>
      </c>
      <c r="BH22" s="20">
        <v>1</v>
      </c>
      <c r="BI22" s="20">
        <v>1</v>
      </c>
      <c r="BJ22" s="2">
        <v>1</v>
      </c>
      <c r="BK22" s="6">
        <f t="shared" si="0"/>
        <v>6</v>
      </c>
    </row>
    <row r="23" spans="1:63" x14ac:dyDescent="0.15">
      <c r="A23" s="21" t="s">
        <v>95</v>
      </c>
      <c r="B23" s="18">
        <v>0</v>
      </c>
      <c r="C23" s="18">
        <v>0</v>
      </c>
      <c r="D23" s="15" t="s">
        <v>75</v>
      </c>
      <c r="E23" s="15" t="s">
        <v>75</v>
      </c>
      <c r="F23" s="15" t="s">
        <v>75</v>
      </c>
      <c r="G23" s="18">
        <v>1</v>
      </c>
      <c r="H23" s="15" t="s">
        <v>75</v>
      </c>
      <c r="I23" s="18">
        <v>0</v>
      </c>
      <c r="J23" s="20">
        <v>0</v>
      </c>
      <c r="K23" s="20">
        <v>0</v>
      </c>
      <c r="L23" s="20">
        <v>0</v>
      </c>
      <c r="M23" s="32" t="s">
        <v>76</v>
      </c>
      <c r="N23" s="20">
        <v>1</v>
      </c>
      <c r="O23" s="32" t="s">
        <v>76</v>
      </c>
      <c r="P23" s="33" t="s">
        <v>77</v>
      </c>
      <c r="Q23" s="33" t="s">
        <v>77</v>
      </c>
      <c r="R23" s="33" t="s">
        <v>77</v>
      </c>
      <c r="S23" s="33" t="s">
        <v>77</v>
      </c>
      <c r="T23" s="33" t="s">
        <v>77</v>
      </c>
      <c r="U23" s="20">
        <v>0</v>
      </c>
      <c r="V23" s="20">
        <v>0</v>
      </c>
      <c r="W23" s="32" t="s">
        <v>76</v>
      </c>
      <c r="X23" s="33" t="s">
        <v>77</v>
      </c>
      <c r="Y23" s="20">
        <v>1</v>
      </c>
      <c r="Z23" s="20">
        <v>0</v>
      </c>
      <c r="AA23" s="20">
        <v>0</v>
      </c>
      <c r="AB23" s="33" t="s">
        <v>77</v>
      </c>
      <c r="AC23" s="32" t="s">
        <v>76</v>
      </c>
      <c r="AD23" s="33" t="s">
        <v>77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J23" s="20">
        <v>1</v>
      </c>
      <c r="AK23" s="20">
        <v>1</v>
      </c>
      <c r="AL23" s="20">
        <v>1</v>
      </c>
      <c r="AM23" s="20">
        <v>1</v>
      </c>
      <c r="AN23" s="20">
        <v>1</v>
      </c>
      <c r="AO23" s="20">
        <v>1</v>
      </c>
      <c r="AP23" s="20">
        <v>1</v>
      </c>
      <c r="AQ23" s="20">
        <v>1</v>
      </c>
      <c r="AR23" s="20">
        <v>1</v>
      </c>
      <c r="AS23" s="20">
        <v>1</v>
      </c>
      <c r="AT23" s="20">
        <v>1</v>
      </c>
      <c r="AU23" s="20">
        <v>1</v>
      </c>
      <c r="AV23" s="20">
        <v>1</v>
      </c>
      <c r="AW23" s="20">
        <v>1</v>
      </c>
      <c r="AX23" s="20">
        <v>1</v>
      </c>
      <c r="AY23" s="20">
        <v>1</v>
      </c>
      <c r="AZ23" s="20">
        <v>1</v>
      </c>
      <c r="BA23" s="20">
        <v>1</v>
      </c>
      <c r="BB23" s="20">
        <v>1</v>
      </c>
      <c r="BC23" s="20">
        <v>1</v>
      </c>
      <c r="BD23" s="20">
        <v>1</v>
      </c>
      <c r="BE23" s="20">
        <v>1</v>
      </c>
      <c r="BF23" s="20">
        <v>1</v>
      </c>
      <c r="BG23" s="20">
        <v>1</v>
      </c>
      <c r="BH23" s="20">
        <v>1</v>
      </c>
      <c r="BI23" s="20">
        <v>1</v>
      </c>
      <c r="BJ23" s="2">
        <v>1</v>
      </c>
      <c r="BK23" s="6">
        <f t="shared" si="0"/>
        <v>35</v>
      </c>
    </row>
    <row r="24" spans="1:63" x14ac:dyDescent="0.15">
      <c r="A24" s="21" t="s">
        <v>96</v>
      </c>
      <c r="B24" s="15" t="s">
        <v>75</v>
      </c>
      <c r="C24" s="15" t="s">
        <v>75</v>
      </c>
      <c r="D24" s="15" t="s">
        <v>75</v>
      </c>
      <c r="E24" s="15" t="s">
        <v>75</v>
      </c>
      <c r="F24" s="15" t="s">
        <v>75</v>
      </c>
      <c r="G24" s="18">
        <v>1</v>
      </c>
      <c r="H24" s="18">
        <v>0</v>
      </c>
      <c r="I24" s="18">
        <v>0</v>
      </c>
      <c r="J24" s="20">
        <v>0</v>
      </c>
      <c r="K24" s="20">
        <v>0</v>
      </c>
      <c r="L24" s="20">
        <v>0</v>
      </c>
      <c r="M24" s="32" t="s">
        <v>76</v>
      </c>
      <c r="N24" s="20">
        <v>0</v>
      </c>
      <c r="O24" s="20">
        <v>0</v>
      </c>
      <c r="P24" s="33" t="s">
        <v>77</v>
      </c>
      <c r="Q24" s="33" t="s">
        <v>77</v>
      </c>
      <c r="R24" s="33" t="s">
        <v>77</v>
      </c>
      <c r="S24" s="33" t="s">
        <v>77</v>
      </c>
      <c r="T24" s="33" t="s">
        <v>77</v>
      </c>
      <c r="U24" s="33" t="s">
        <v>77</v>
      </c>
      <c r="V24" s="32" t="s">
        <v>76</v>
      </c>
      <c r="W24" s="32" t="s">
        <v>76</v>
      </c>
      <c r="X24" s="33" t="s">
        <v>77</v>
      </c>
      <c r="Y24" s="20">
        <v>0</v>
      </c>
      <c r="Z24" s="20">
        <v>0</v>
      </c>
      <c r="AA24" s="20">
        <v>1</v>
      </c>
      <c r="AB24" s="33" t="s">
        <v>77</v>
      </c>
      <c r="AC24" s="32" t="s">
        <v>76</v>
      </c>
      <c r="AD24" s="33" t="s">
        <v>77</v>
      </c>
      <c r="AE24" s="20">
        <v>0</v>
      </c>
      <c r="AF24" s="20">
        <v>1</v>
      </c>
      <c r="AG24" s="20">
        <v>1</v>
      </c>
      <c r="AH24" s="20">
        <v>1</v>
      </c>
      <c r="AI24" s="20">
        <v>1</v>
      </c>
      <c r="AJ24" s="20">
        <v>1</v>
      </c>
      <c r="AK24" s="20">
        <v>1</v>
      </c>
      <c r="AL24" s="20">
        <v>0</v>
      </c>
      <c r="AM24" s="20">
        <v>1</v>
      </c>
      <c r="AN24" s="20">
        <v>1</v>
      </c>
      <c r="AO24" s="20">
        <v>1</v>
      </c>
      <c r="AP24" s="20">
        <v>0</v>
      </c>
      <c r="AQ24" s="20">
        <v>1</v>
      </c>
      <c r="AR24" s="20">
        <v>1</v>
      </c>
      <c r="AS24" s="20">
        <v>1</v>
      </c>
      <c r="AT24" s="20">
        <v>1</v>
      </c>
      <c r="AU24" s="20">
        <v>1</v>
      </c>
      <c r="AV24" s="20">
        <v>1</v>
      </c>
      <c r="AW24" s="20">
        <v>1</v>
      </c>
      <c r="AX24" s="20">
        <v>1</v>
      </c>
      <c r="AY24" s="20">
        <v>0</v>
      </c>
      <c r="AZ24" s="20">
        <v>0</v>
      </c>
      <c r="BA24" s="20">
        <v>0</v>
      </c>
      <c r="BB24" s="20">
        <v>1</v>
      </c>
      <c r="BC24" s="20">
        <v>1</v>
      </c>
      <c r="BD24" s="20">
        <v>1</v>
      </c>
      <c r="BE24" s="20">
        <v>1</v>
      </c>
      <c r="BF24" s="20">
        <v>1</v>
      </c>
      <c r="BG24" s="20">
        <v>1</v>
      </c>
      <c r="BH24" s="20">
        <v>0</v>
      </c>
      <c r="BI24" s="20">
        <v>0</v>
      </c>
      <c r="BJ24" s="2">
        <v>1</v>
      </c>
      <c r="BK24" s="6">
        <f t="shared" si="0"/>
        <v>26</v>
      </c>
    </row>
    <row r="25" spans="1:63" x14ac:dyDescent="0.15">
      <c r="A25" s="21" t="s">
        <v>97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5" t="s">
        <v>75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1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1</v>
      </c>
      <c r="AV25" s="20">
        <v>1</v>
      </c>
      <c r="AW25" s="20">
        <v>1</v>
      </c>
      <c r="AX25" s="20">
        <v>0</v>
      </c>
      <c r="AY25" s="20">
        <v>0</v>
      </c>
      <c r="AZ25" s="20">
        <v>1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">
        <v>1</v>
      </c>
      <c r="BK25" s="6">
        <f t="shared" si="0"/>
        <v>6</v>
      </c>
    </row>
    <row r="26" spans="1:63" x14ac:dyDescent="0.15">
      <c r="A26" s="21" t="s">
        <v>98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5" t="s">
        <v>75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33" t="s">
        <v>77</v>
      </c>
      <c r="R26" s="33" t="s">
        <v>77</v>
      </c>
      <c r="S26" s="33" t="s">
        <v>77</v>
      </c>
      <c r="T26" s="20">
        <v>0</v>
      </c>
      <c r="U26" s="33" t="s">
        <v>77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1</v>
      </c>
      <c r="AH26" s="20">
        <v>0</v>
      </c>
      <c r="AI26" s="20">
        <v>1</v>
      </c>
      <c r="AJ26" s="20">
        <v>1</v>
      </c>
      <c r="AK26" s="20">
        <v>0</v>
      </c>
      <c r="AL26" s="20">
        <v>0</v>
      </c>
      <c r="AM26" s="20">
        <v>0</v>
      </c>
      <c r="AN26" s="20">
        <v>1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1</v>
      </c>
      <c r="BC26" s="20">
        <v>0</v>
      </c>
      <c r="BD26" s="20">
        <v>1</v>
      </c>
      <c r="BE26" s="20">
        <v>0</v>
      </c>
      <c r="BF26" s="20">
        <v>0</v>
      </c>
      <c r="BG26" s="20">
        <v>1</v>
      </c>
      <c r="BH26" s="20">
        <v>0</v>
      </c>
      <c r="BI26" s="20">
        <v>0</v>
      </c>
      <c r="BJ26" s="2">
        <v>0</v>
      </c>
      <c r="BK26" s="6">
        <f t="shared" si="0"/>
        <v>7</v>
      </c>
    </row>
    <row r="27" spans="1:63" x14ac:dyDescent="0.15">
      <c r="A27" s="21" t="s">
        <v>99</v>
      </c>
      <c r="B27" s="15" t="s">
        <v>75</v>
      </c>
      <c r="C27" s="15" t="s">
        <v>75</v>
      </c>
      <c r="D27" s="15" t="s">
        <v>75</v>
      </c>
      <c r="E27" s="15" t="s">
        <v>75</v>
      </c>
      <c r="F27" s="15" t="s">
        <v>75</v>
      </c>
      <c r="G27" s="18">
        <v>1</v>
      </c>
      <c r="H27" s="18">
        <v>0</v>
      </c>
      <c r="I27" s="15" t="s">
        <v>75</v>
      </c>
      <c r="J27" s="20">
        <v>0</v>
      </c>
      <c r="K27" s="20">
        <v>0</v>
      </c>
      <c r="L27" s="20">
        <v>0</v>
      </c>
      <c r="M27" s="32" t="s">
        <v>76</v>
      </c>
      <c r="N27" s="20">
        <v>0</v>
      </c>
      <c r="O27" s="20">
        <v>0</v>
      </c>
      <c r="P27" s="33" t="s">
        <v>77</v>
      </c>
      <c r="Q27" s="33" t="s">
        <v>77</v>
      </c>
      <c r="R27" s="33" t="s">
        <v>77</v>
      </c>
      <c r="S27" s="33" t="s">
        <v>77</v>
      </c>
      <c r="T27" s="20">
        <v>0</v>
      </c>
      <c r="U27" s="20">
        <v>0</v>
      </c>
      <c r="V27" s="32" t="s">
        <v>76</v>
      </c>
      <c r="W27" s="32" t="s">
        <v>76</v>
      </c>
      <c r="X27" s="33" t="s">
        <v>77</v>
      </c>
      <c r="Y27" s="20">
        <v>0</v>
      </c>
      <c r="Z27" s="20">
        <v>0</v>
      </c>
      <c r="AA27" s="20">
        <v>1</v>
      </c>
      <c r="AB27" s="33" t="s">
        <v>77</v>
      </c>
      <c r="AC27" s="32" t="s">
        <v>76</v>
      </c>
      <c r="AD27" s="20">
        <v>0</v>
      </c>
      <c r="AE27" s="20">
        <v>0</v>
      </c>
      <c r="AF27" s="20">
        <v>0</v>
      </c>
      <c r="AG27" s="20">
        <v>1</v>
      </c>
      <c r="AH27" s="20">
        <v>1</v>
      </c>
      <c r="AI27" s="20">
        <v>1</v>
      </c>
      <c r="AJ27" s="20">
        <v>1</v>
      </c>
      <c r="AK27" s="20">
        <v>1</v>
      </c>
      <c r="AL27" s="20">
        <v>1</v>
      </c>
      <c r="AM27" s="20">
        <v>1</v>
      </c>
      <c r="AN27" s="20">
        <v>1</v>
      </c>
      <c r="AO27" s="20">
        <v>1</v>
      </c>
      <c r="AP27" s="20">
        <v>1</v>
      </c>
      <c r="AQ27" s="20">
        <v>1</v>
      </c>
      <c r="AR27" s="20">
        <v>1</v>
      </c>
      <c r="AS27" s="20">
        <v>1</v>
      </c>
      <c r="AT27" s="20">
        <v>1</v>
      </c>
      <c r="AU27" s="20">
        <v>0</v>
      </c>
      <c r="AV27" s="20">
        <v>0</v>
      </c>
      <c r="AW27" s="20">
        <v>0</v>
      </c>
      <c r="AX27" s="20">
        <v>0</v>
      </c>
      <c r="AY27" s="20">
        <v>1</v>
      </c>
      <c r="AZ27" s="20">
        <v>1</v>
      </c>
      <c r="BA27" s="20">
        <v>1</v>
      </c>
      <c r="BB27" s="20">
        <v>1</v>
      </c>
      <c r="BC27" s="20">
        <v>1</v>
      </c>
      <c r="BD27" s="20">
        <v>1</v>
      </c>
      <c r="BE27" s="20">
        <v>1</v>
      </c>
      <c r="BF27" s="20">
        <v>1</v>
      </c>
      <c r="BG27" s="20">
        <v>1</v>
      </c>
      <c r="BH27" s="20">
        <v>1</v>
      </c>
      <c r="BI27" s="20">
        <v>1</v>
      </c>
      <c r="BJ27" s="2">
        <v>0</v>
      </c>
      <c r="BK27" s="6">
        <f t="shared" si="0"/>
        <v>27</v>
      </c>
    </row>
    <row r="28" spans="1:63" x14ac:dyDescent="0.15">
      <c r="A28" s="21" t="s">
        <v>100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5" t="s">
        <v>75</v>
      </c>
      <c r="I28" s="18">
        <v>0</v>
      </c>
      <c r="J28" s="32" t="s">
        <v>76</v>
      </c>
      <c r="K28" s="32" t="s">
        <v>76</v>
      </c>
      <c r="L28" s="32" t="s">
        <v>76</v>
      </c>
      <c r="M28" s="32" t="s">
        <v>76</v>
      </c>
      <c r="N28" s="20">
        <v>1</v>
      </c>
      <c r="O28" s="32" t="s">
        <v>76</v>
      </c>
      <c r="P28" s="33" t="s">
        <v>77</v>
      </c>
      <c r="Q28" s="20">
        <v>0</v>
      </c>
      <c r="R28" s="20">
        <v>0</v>
      </c>
      <c r="S28" s="20">
        <v>0</v>
      </c>
      <c r="T28" s="33" t="s">
        <v>77</v>
      </c>
      <c r="U28" s="20">
        <v>0</v>
      </c>
      <c r="V28" s="20">
        <v>0</v>
      </c>
      <c r="W28" s="32" t="s">
        <v>76</v>
      </c>
      <c r="X28" s="33" t="s">
        <v>77</v>
      </c>
      <c r="Y28" s="20">
        <v>0</v>
      </c>
      <c r="Z28" s="20">
        <v>1</v>
      </c>
      <c r="AA28" s="20">
        <v>0</v>
      </c>
      <c r="AB28" s="20">
        <v>0</v>
      </c>
      <c r="AC28" s="20">
        <v>0</v>
      </c>
      <c r="AD28" s="33" t="s">
        <v>77</v>
      </c>
      <c r="AE28" s="20">
        <v>1</v>
      </c>
      <c r="AF28" s="20">
        <v>1</v>
      </c>
      <c r="AG28" s="20">
        <v>0</v>
      </c>
      <c r="AH28" s="20">
        <v>0</v>
      </c>
      <c r="AI28" s="20">
        <v>0</v>
      </c>
      <c r="AJ28" s="20">
        <v>0</v>
      </c>
      <c r="AK28" s="20">
        <v>1</v>
      </c>
      <c r="AL28" s="20">
        <v>1</v>
      </c>
      <c r="AM28" s="20">
        <v>1</v>
      </c>
      <c r="AN28" s="20">
        <v>0</v>
      </c>
      <c r="AO28" s="20">
        <v>0</v>
      </c>
      <c r="AP28" s="20">
        <v>1</v>
      </c>
      <c r="AQ28" s="20">
        <v>0</v>
      </c>
      <c r="AR28" s="20">
        <v>0</v>
      </c>
      <c r="AS28" s="20">
        <v>0</v>
      </c>
      <c r="AT28" s="20">
        <v>1</v>
      </c>
      <c r="AU28" s="20">
        <v>1</v>
      </c>
      <c r="AV28" s="20">
        <v>1</v>
      </c>
      <c r="AW28" s="20">
        <v>1</v>
      </c>
      <c r="AX28" s="20">
        <v>1</v>
      </c>
      <c r="AY28" s="20">
        <v>1</v>
      </c>
      <c r="AZ28" s="20">
        <v>1</v>
      </c>
      <c r="BA28" s="20">
        <v>0</v>
      </c>
      <c r="BB28" s="20">
        <v>0</v>
      </c>
      <c r="BC28" s="20">
        <v>1</v>
      </c>
      <c r="BD28" s="20">
        <v>0</v>
      </c>
      <c r="BE28" s="20">
        <v>0</v>
      </c>
      <c r="BF28" s="20">
        <v>0</v>
      </c>
      <c r="BG28" s="20">
        <v>0</v>
      </c>
      <c r="BH28" s="20">
        <v>1</v>
      </c>
      <c r="BI28" s="20">
        <v>1</v>
      </c>
      <c r="BJ28" s="2">
        <v>0</v>
      </c>
      <c r="BK28" s="6">
        <f t="shared" si="0"/>
        <v>18</v>
      </c>
    </row>
    <row r="29" spans="1:63" x14ac:dyDescent="0.15">
      <c r="A29" s="21" t="s">
        <v>101</v>
      </c>
      <c r="B29" s="15" t="s">
        <v>75</v>
      </c>
      <c r="C29" s="15" t="s">
        <v>75</v>
      </c>
      <c r="D29" s="15" t="s">
        <v>75</v>
      </c>
      <c r="E29" s="15" t="s">
        <v>75</v>
      </c>
      <c r="F29" s="15" t="s">
        <v>75</v>
      </c>
      <c r="G29" s="18">
        <v>1</v>
      </c>
      <c r="H29" s="15" t="s">
        <v>75</v>
      </c>
      <c r="I29" s="15" t="s">
        <v>75</v>
      </c>
      <c r="J29" s="32" t="s">
        <v>76</v>
      </c>
      <c r="K29" s="32" t="s">
        <v>76</v>
      </c>
      <c r="L29" s="32" t="s">
        <v>76</v>
      </c>
      <c r="M29" s="32" t="s">
        <v>76</v>
      </c>
      <c r="N29" s="20">
        <v>1</v>
      </c>
      <c r="O29" s="32" t="s">
        <v>76</v>
      </c>
      <c r="P29" s="33" t="s">
        <v>77</v>
      </c>
      <c r="Q29" s="33" t="s">
        <v>77</v>
      </c>
      <c r="R29" s="33" t="s">
        <v>77</v>
      </c>
      <c r="S29" s="33" t="s">
        <v>77</v>
      </c>
      <c r="T29" s="33" t="s">
        <v>77</v>
      </c>
      <c r="U29" s="33" t="s">
        <v>77</v>
      </c>
      <c r="V29" s="32" t="s">
        <v>76</v>
      </c>
      <c r="W29" s="32" t="s">
        <v>76</v>
      </c>
      <c r="X29" s="33" t="s">
        <v>77</v>
      </c>
      <c r="Y29" s="20">
        <v>1</v>
      </c>
      <c r="Z29" s="20">
        <v>1</v>
      </c>
      <c r="AA29" s="20">
        <v>1</v>
      </c>
      <c r="AB29" s="33" t="s">
        <v>77</v>
      </c>
      <c r="AC29" s="32" t="s">
        <v>76</v>
      </c>
      <c r="AD29" s="33" t="s">
        <v>77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20">
        <v>1</v>
      </c>
      <c r="AR29" s="20">
        <v>1</v>
      </c>
      <c r="AS29" s="20">
        <v>1</v>
      </c>
      <c r="AT29" s="20">
        <v>1</v>
      </c>
      <c r="AU29" s="20">
        <v>1</v>
      </c>
      <c r="AV29" s="20">
        <v>1</v>
      </c>
      <c r="AW29" s="20">
        <v>1</v>
      </c>
      <c r="AX29" s="20">
        <v>1</v>
      </c>
      <c r="AY29" s="20">
        <v>1</v>
      </c>
      <c r="AZ29" s="20">
        <v>1</v>
      </c>
      <c r="BA29" s="20">
        <v>1</v>
      </c>
      <c r="BB29" s="20">
        <v>1</v>
      </c>
      <c r="BC29" s="20">
        <v>1</v>
      </c>
      <c r="BD29" s="20">
        <v>1</v>
      </c>
      <c r="BE29" s="20">
        <v>1</v>
      </c>
      <c r="BF29" s="20">
        <v>1</v>
      </c>
      <c r="BG29" s="20">
        <v>1</v>
      </c>
      <c r="BH29" s="20">
        <v>1</v>
      </c>
      <c r="BI29" s="20">
        <v>1</v>
      </c>
      <c r="BJ29" s="2">
        <v>1</v>
      </c>
      <c r="BK29" s="6">
        <f t="shared" si="0"/>
        <v>37</v>
      </c>
    </row>
    <row r="30" spans="1:63" x14ac:dyDescent="0.15">
      <c r="A30" s="21" t="s">
        <v>102</v>
      </c>
      <c r="B30" s="18">
        <v>1</v>
      </c>
      <c r="C30" s="18">
        <v>1</v>
      </c>
      <c r="D30" s="18">
        <v>1</v>
      </c>
      <c r="E30" s="18">
        <v>0</v>
      </c>
      <c r="F30" s="18">
        <v>0</v>
      </c>
      <c r="G30" s="18">
        <v>0</v>
      </c>
      <c r="H30" s="18">
        <v>1</v>
      </c>
      <c r="I30" s="18">
        <v>0</v>
      </c>
      <c r="J30" s="18">
        <v>1</v>
      </c>
      <c r="K30" s="18">
        <v>1</v>
      </c>
      <c r="L30" s="18">
        <v>1</v>
      </c>
      <c r="M30" s="18">
        <v>0</v>
      </c>
      <c r="N30" s="18">
        <v>1</v>
      </c>
      <c r="O30" s="18">
        <v>1</v>
      </c>
      <c r="P30" s="20">
        <v>1</v>
      </c>
      <c r="Q30" s="20">
        <v>1</v>
      </c>
      <c r="R30" s="20">
        <v>0</v>
      </c>
      <c r="S30" s="20">
        <v>0</v>
      </c>
      <c r="T30" s="20">
        <v>1</v>
      </c>
      <c r="U30" s="20">
        <v>0</v>
      </c>
      <c r="V30" s="20">
        <v>0</v>
      </c>
      <c r="W30" s="20">
        <v>0</v>
      </c>
      <c r="X30" s="20">
        <v>0</v>
      </c>
      <c r="Y30" s="20">
        <v>1</v>
      </c>
      <c r="Z30" s="20">
        <v>0</v>
      </c>
      <c r="AA30" s="20">
        <v>0</v>
      </c>
      <c r="AB30" s="20">
        <v>0</v>
      </c>
      <c r="AC30" s="20">
        <v>0</v>
      </c>
      <c r="AD30" s="20">
        <v>1</v>
      </c>
      <c r="AE30" s="20">
        <v>1</v>
      </c>
      <c r="AF30" s="20">
        <v>1</v>
      </c>
      <c r="AG30" s="20">
        <v>1</v>
      </c>
      <c r="AH30" s="20">
        <v>0</v>
      </c>
      <c r="AI30" s="20">
        <v>0</v>
      </c>
      <c r="AJ30" s="20">
        <v>0</v>
      </c>
      <c r="AK30" s="20">
        <v>1</v>
      </c>
      <c r="AL30" s="20">
        <v>1</v>
      </c>
      <c r="AM30" s="20">
        <v>1</v>
      </c>
      <c r="AN30" s="20">
        <v>0</v>
      </c>
      <c r="AO30" s="20">
        <v>0</v>
      </c>
      <c r="AP30" s="20">
        <v>1</v>
      </c>
      <c r="AQ30" s="20">
        <v>0</v>
      </c>
      <c r="AR30" s="20">
        <v>0</v>
      </c>
      <c r="AS30" s="20">
        <v>0</v>
      </c>
      <c r="AT30" s="20">
        <v>0</v>
      </c>
      <c r="AU30" s="20">
        <v>1</v>
      </c>
      <c r="AV30" s="20">
        <v>1</v>
      </c>
      <c r="AW30" s="20">
        <v>1</v>
      </c>
      <c r="AX30" s="20">
        <v>1</v>
      </c>
      <c r="AY30" s="20">
        <v>1</v>
      </c>
      <c r="AZ30" s="20">
        <v>1</v>
      </c>
      <c r="BA30" s="20">
        <v>0</v>
      </c>
      <c r="BB30" s="20">
        <v>1</v>
      </c>
      <c r="BC30" s="20">
        <v>1</v>
      </c>
      <c r="BD30" s="20">
        <v>0</v>
      </c>
      <c r="BE30" s="20">
        <v>0</v>
      </c>
      <c r="BF30" s="20">
        <v>0</v>
      </c>
      <c r="BG30" s="20">
        <v>1</v>
      </c>
      <c r="BH30" s="20">
        <v>1</v>
      </c>
      <c r="BI30" s="20">
        <v>0</v>
      </c>
      <c r="BJ30" s="2">
        <v>0</v>
      </c>
      <c r="BK30" s="6">
        <f t="shared" si="0"/>
        <v>31</v>
      </c>
    </row>
    <row r="37" spans="1:2" x14ac:dyDescent="0.15">
      <c r="A37" s="19" t="s">
        <v>103</v>
      </c>
      <c r="B37" s="14" t="s">
        <v>75</v>
      </c>
    </row>
    <row r="38" spans="1:2" x14ac:dyDescent="0.15">
      <c r="A38" t="s">
        <v>104</v>
      </c>
      <c r="B38" s="34" t="s">
        <v>76</v>
      </c>
    </row>
    <row r="39" spans="1:2" x14ac:dyDescent="0.15">
      <c r="A39" t="s">
        <v>105</v>
      </c>
      <c r="B39" s="35" t="s">
        <v>77</v>
      </c>
    </row>
  </sheetData>
  <mergeCells count="11">
    <mergeCell ref="B3:I3"/>
    <mergeCell ref="AL3:AO3"/>
    <mergeCell ref="V3:AA3"/>
    <mergeCell ref="BG3:BJ3"/>
    <mergeCell ref="BC3:BF3"/>
    <mergeCell ref="P3:U3"/>
    <mergeCell ref="J3:O3"/>
    <mergeCell ref="AB3:AF3"/>
    <mergeCell ref="AP3:AX3"/>
    <mergeCell ref="AG3:AK3"/>
    <mergeCell ref="AY3:BB3"/>
  </mergeCells>
  <pageMargins left="0.7" right="0.7" top="0.75" bottom="0.75" header="0.3" footer="0.3"/>
  <pageSetup paperSize="5" scale="61" orientation="landscape"/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6"/>
  <sheetViews>
    <sheetView zoomScaleNormal="100" workbookViewId="0">
      <selection activeCell="O17" sqref="O17"/>
    </sheetView>
  </sheetViews>
  <sheetFormatPr baseColWidth="10" defaultColWidth="8.83203125" defaultRowHeight="13" x14ac:dyDescent="0.15"/>
  <cols>
    <col min="1" max="1" width="32.1640625" customWidth="1"/>
    <col min="2" max="62" width="5.5" customWidth="1"/>
  </cols>
  <sheetData>
    <row r="1" spans="1:69" ht="18" customHeight="1" x14ac:dyDescent="0.2">
      <c r="A1" s="1" t="s">
        <v>106</v>
      </c>
    </row>
    <row r="2" spans="1:69" ht="14" customHeight="1" thickBot="1" x14ac:dyDescent="0.2"/>
    <row r="3" spans="1:69" x14ac:dyDescent="0.15">
      <c r="A3" s="54" t="s">
        <v>107</v>
      </c>
      <c r="B3" s="56" t="s">
        <v>0</v>
      </c>
      <c r="C3" s="49"/>
      <c r="D3" s="49"/>
      <c r="E3" s="49"/>
      <c r="F3" s="49"/>
      <c r="G3" s="49"/>
      <c r="H3" s="49"/>
      <c r="I3" s="50"/>
      <c r="J3" s="56" t="s">
        <v>1</v>
      </c>
      <c r="K3" s="49"/>
      <c r="L3" s="49"/>
      <c r="M3" s="49"/>
      <c r="N3" s="49"/>
      <c r="O3" s="50"/>
      <c r="P3" s="56" t="s">
        <v>2</v>
      </c>
      <c r="Q3" s="49"/>
      <c r="R3" s="49"/>
      <c r="S3" s="49"/>
      <c r="T3" s="49"/>
      <c r="U3" s="50"/>
      <c r="V3" s="56" t="s">
        <v>3</v>
      </c>
      <c r="W3" s="49"/>
      <c r="X3" s="49"/>
      <c r="Y3" s="49"/>
      <c r="Z3" s="49"/>
      <c r="AA3" s="50"/>
      <c r="AB3" s="56" t="s">
        <v>4</v>
      </c>
      <c r="AC3" s="49"/>
      <c r="AD3" s="49"/>
      <c r="AE3" s="49"/>
      <c r="AF3" s="50"/>
      <c r="AG3" s="56" t="s">
        <v>5</v>
      </c>
      <c r="AH3" s="49"/>
      <c r="AI3" s="49"/>
      <c r="AJ3" s="49"/>
      <c r="AK3" s="50"/>
      <c r="AL3" s="56" t="s">
        <v>66</v>
      </c>
      <c r="AM3" s="49"/>
      <c r="AN3" s="49"/>
      <c r="AO3" s="50"/>
      <c r="AP3" s="56" t="s">
        <v>6</v>
      </c>
      <c r="AQ3" s="49"/>
      <c r="AR3" s="49"/>
      <c r="AS3" s="49"/>
      <c r="AT3" s="49"/>
      <c r="AU3" s="49"/>
      <c r="AV3" s="49"/>
      <c r="AW3" s="49"/>
      <c r="AX3" s="50"/>
      <c r="AY3" s="56" t="s">
        <v>7</v>
      </c>
      <c r="AZ3" s="49"/>
      <c r="BA3" s="49"/>
      <c r="BB3" s="50"/>
      <c r="BC3" s="56" t="s">
        <v>67</v>
      </c>
      <c r="BD3" s="49"/>
      <c r="BE3" s="49"/>
      <c r="BF3" s="50"/>
      <c r="BG3" s="56" t="s">
        <v>8</v>
      </c>
      <c r="BH3" s="49"/>
      <c r="BI3" s="49"/>
      <c r="BJ3" s="50"/>
    </row>
    <row r="4" spans="1:69" ht="120" customHeight="1" thickBot="1" x14ac:dyDescent="0.2">
      <c r="A4" s="55"/>
      <c r="B4" s="27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8" t="s">
        <v>14</v>
      </c>
      <c r="H4" s="28" t="s">
        <v>15</v>
      </c>
      <c r="I4" s="29" t="s">
        <v>16</v>
      </c>
      <c r="J4" s="27" t="s">
        <v>17</v>
      </c>
      <c r="K4" s="28" t="s">
        <v>18</v>
      </c>
      <c r="L4" s="28" t="s">
        <v>19</v>
      </c>
      <c r="M4" s="28" t="s">
        <v>20</v>
      </c>
      <c r="N4" s="28" t="s">
        <v>21</v>
      </c>
      <c r="O4" s="29" t="s">
        <v>22</v>
      </c>
      <c r="P4" s="27" t="s">
        <v>23</v>
      </c>
      <c r="Q4" s="28" t="s">
        <v>24</v>
      </c>
      <c r="R4" s="28" t="s">
        <v>25</v>
      </c>
      <c r="S4" s="28" t="s">
        <v>26</v>
      </c>
      <c r="T4" s="28" t="s">
        <v>27</v>
      </c>
      <c r="U4" s="29" t="s">
        <v>28</v>
      </c>
      <c r="V4" s="27" t="s">
        <v>29</v>
      </c>
      <c r="W4" s="28" t="s">
        <v>30</v>
      </c>
      <c r="X4" s="28" t="s">
        <v>31</v>
      </c>
      <c r="Y4" s="28" t="s">
        <v>32</v>
      </c>
      <c r="Z4" s="28" t="s">
        <v>33</v>
      </c>
      <c r="AA4" s="29" t="s">
        <v>34</v>
      </c>
      <c r="AB4" s="27" t="s">
        <v>35</v>
      </c>
      <c r="AC4" s="28" t="s">
        <v>36</v>
      </c>
      <c r="AD4" s="28" t="s">
        <v>37</v>
      </c>
      <c r="AE4" s="28" t="s">
        <v>38</v>
      </c>
      <c r="AF4" s="29" t="s">
        <v>39</v>
      </c>
      <c r="AG4" s="27" t="s">
        <v>40</v>
      </c>
      <c r="AH4" s="28" t="s">
        <v>41</v>
      </c>
      <c r="AI4" s="28" t="s">
        <v>42</v>
      </c>
      <c r="AJ4" s="28" t="s">
        <v>43</v>
      </c>
      <c r="AK4" s="29" t="s">
        <v>44</v>
      </c>
      <c r="AL4" s="27" t="s">
        <v>45</v>
      </c>
      <c r="AM4" s="28" t="s">
        <v>46</v>
      </c>
      <c r="AN4" s="28" t="s">
        <v>47</v>
      </c>
      <c r="AO4" s="29" t="s">
        <v>48</v>
      </c>
      <c r="AP4" s="27" t="s">
        <v>49</v>
      </c>
      <c r="AQ4" s="28" t="s">
        <v>50</v>
      </c>
      <c r="AR4" s="28" t="s">
        <v>51</v>
      </c>
      <c r="AS4" s="28" t="s">
        <v>52</v>
      </c>
      <c r="AT4" s="28" t="s">
        <v>53</v>
      </c>
      <c r="AU4" s="28" t="s">
        <v>54</v>
      </c>
      <c r="AV4" s="28" t="s">
        <v>55</v>
      </c>
      <c r="AW4" s="28" t="s">
        <v>56</v>
      </c>
      <c r="AX4" s="29" t="s">
        <v>57</v>
      </c>
      <c r="AY4" s="27" t="s">
        <v>58</v>
      </c>
      <c r="AZ4" s="28" t="s">
        <v>68</v>
      </c>
      <c r="BA4" s="28" t="s">
        <v>69</v>
      </c>
      <c r="BB4" s="29" t="s">
        <v>59</v>
      </c>
      <c r="BC4" s="27" t="s">
        <v>60</v>
      </c>
      <c r="BD4" s="28" t="s">
        <v>61</v>
      </c>
      <c r="BE4" s="28" t="s">
        <v>70</v>
      </c>
      <c r="BF4" s="29" t="s">
        <v>71</v>
      </c>
      <c r="BG4" s="27" t="s">
        <v>62</v>
      </c>
      <c r="BH4" s="28" t="s">
        <v>63</v>
      </c>
      <c r="BI4" s="28" t="s">
        <v>64</v>
      </c>
      <c r="BJ4" s="29" t="s">
        <v>72</v>
      </c>
    </row>
    <row r="5" spans="1:69" ht="18" customHeight="1" x14ac:dyDescent="0.15">
      <c r="A5" s="9" t="s">
        <v>108</v>
      </c>
      <c r="B5" s="13" t="s">
        <v>109</v>
      </c>
      <c r="C5" s="13"/>
      <c r="E5" s="13" t="s">
        <v>109</v>
      </c>
      <c r="F5" s="13" t="s">
        <v>109</v>
      </c>
      <c r="G5" s="13" t="s">
        <v>109</v>
      </c>
      <c r="H5" s="13" t="s">
        <v>109</v>
      </c>
      <c r="I5" s="13" t="s">
        <v>109</v>
      </c>
      <c r="J5" s="13" t="s">
        <v>109</v>
      </c>
      <c r="K5" s="13" t="s">
        <v>109</v>
      </c>
      <c r="L5" s="13" t="s">
        <v>109</v>
      </c>
      <c r="M5" s="13" t="s">
        <v>109</v>
      </c>
      <c r="N5" s="13" t="s">
        <v>109</v>
      </c>
      <c r="O5" s="13" t="s">
        <v>109</v>
      </c>
      <c r="P5" s="13" t="s">
        <v>109</v>
      </c>
      <c r="Q5" s="13" t="s">
        <v>109</v>
      </c>
      <c r="R5" s="13" t="s">
        <v>109</v>
      </c>
      <c r="S5" s="13" t="s">
        <v>109</v>
      </c>
      <c r="T5" s="13" t="s">
        <v>109</v>
      </c>
      <c r="U5" s="13" t="s">
        <v>109</v>
      </c>
      <c r="V5" s="13"/>
      <c r="W5" s="13"/>
      <c r="X5" s="13"/>
      <c r="Y5" s="13"/>
      <c r="Z5" s="13" t="s">
        <v>109</v>
      </c>
      <c r="AA5" s="13"/>
      <c r="AB5" s="13" t="s">
        <v>109</v>
      </c>
      <c r="AC5" s="13" t="s">
        <v>109</v>
      </c>
      <c r="AD5" s="13" t="s">
        <v>109</v>
      </c>
      <c r="AE5" s="13" t="s">
        <v>109</v>
      </c>
      <c r="AF5" s="13" t="s">
        <v>109</v>
      </c>
      <c r="AG5" s="13" t="s">
        <v>109</v>
      </c>
      <c r="AH5" s="13" t="s">
        <v>109</v>
      </c>
      <c r="AI5" s="13"/>
      <c r="AJ5" s="13"/>
      <c r="AK5" s="13" t="s">
        <v>109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 t="s">
        <v>109</v>
      </c>
      <c r="AZ5" s="13" t="s">
        <v>109</v>
      </c>
      <c r="BA5" s="13" t="s">
        <v>109</v>
      </c>
      <c r="BB5" s="13" t="s">
        <v>109</v>
      </c>
      <c r="BC5" s="13" t="s">
        <v>109</v>
      </c>
      <c r="BD5" s="13"/>
      <c r="BE5" s="13"/>
      <c r="BF5" s="13"/>
      <c r="BG5" s="13" t="s">
        <v>109</v>
      </c>
      <c r="BH5" s="13" t="s">
        <v>109</v>
      </c>
      <c r="BI5" s="13" t="s">
        <v>109</v>
      </c>
      <c r="BJ5" s="13" t="s">
        <v>109</v>
      </c>
      <c r="BK5" s="7"/>
      <c r="BL5" s="7"/>
      <c r="BM5" s="7"/>
      <c r="BN5" s="7"/>
      <c r="BO5" s="7"/>
      <c r="BP5" s="7"/>
      <c r="BQ5" s="7"/>
    </row>
    <row r="6" spans="1:69" ht="18" customHeight="1" x14ac:dyDescent="0.15">
      <c r="A6" s="9" t="s">
        <v>110</v>
      </c>
      <c r="B6" s="8"/>
      <c r="C6" s="8" t="s">
        <v>109</v>
      </c>
      <c r="D6" s="8" t="s">
        <v>109</v>
      </c>
      <c r="E6" s="8" t="s">
        <v>109</v>
      </c>
      <c r="F6" s="8" t="s">
        <v>109</v>
      </c>
      <c r="G6" s="8" t="s">
        <v>109</v>
      </c>
      <c r="H6" s="8" t="s">
        <v>109</v>
      </c>
      <c r="I6" s="8" t="s">
        <v>109</v>
      </c>
      <c r="J6" s="8"/>
      <c r="K6" s="8"/>
      <c r="L6" s="8"/>
      <c r="M6" s="8"/>
      <c r="N6" s="8"/>
      <c r="O6" s="8"/>
      <c r="P6" s="8" t="s">
        <v>109</v>
      </c>
      <c r="Q6" s="8"/>
      <c r="R6" s="8" t="s">
        <v>109</v>
      </c>
      <c r="S6" s="8" t="s">
        <v>109</v>
      </c>
      <c r="T6" s="8" t="s">
        <v>109</v>
      </c>
      <c r="U6" s="8" t="s">
        <v>109</v>
      </c>
      <c r="V6" s="8" t="s">
        <v>109</v>
      </c>
      <c r="W6" s="8" t="s">
        <v>109</v>
      </c>
      <c r="X6" s="8" t="s">
        <v>109</v>
      </c>
      <c r="Y6" s="8" t="s">
        <v>109</v>
      </c>
      <c r="Z6" s="8" t="s">
        <v>109</v>
      </c>
      <c r="AA6" s="8"/>
      <c r="AB6" s="8"/>
      <c r="AC6" s="8"/>
      <c r="AD6" s="8" t="s">
        <v>109</v>
      </c>
      <c r="AE6" s="8"/>
      <c r="AF6" s="8" t="s">
        <v>109</v>
      </c>
      <c r="AG6" s="8"/>
      <c r="AH6" s="8"/>
      <c r="AI6" s="8"/>
      <c r="AJ6" s="8"/>
      <c r="AK6" s="8" t="s">
        <v>109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 t="s">
        <v>109</v>
      </c>
      <c r="AZ6" s="8" t="s">
        <v>109</v>
      </c>
      <c r="BA6" s="8"/>
      <c r="BB6" s="8"/>
      <c r="BC6" s="8" t="s">
        <v>109</v>
      </c>
      <c r="BD6" s="8" t="s">
        <v>109</v>
      </c>
      <c r="BE6" s="8" t="s">
        <v>109</v>
      </c>
      <c r="BF6" s="8" t="s">
        <v>109</v>
      </c>
      <c r="BG6" s="8" t="s">
        <v>109</v>
      </c>
      <c r="BH6" s="8" t="s">
        <v>109</v>
      </c>
      <c r="BI6" s="8" t="s">
        <v>109</v>
      </c>
      <c r="BJ6" s="8" t="s">
        <v>109</v>
      </c>
      <c r="BK6" s="7"/>
      <c r="BL6" s="7"/>
      <c r="BM6" s="7"/>
      <c r="BN6" s="7"/>
      <c r="BO6" s="7"/>
      <c r="BP6" s="7"/>
      <c r="BQ6" s="7"/>
    </row>
    <row r="7" spans="1:69" ht="17" customHeight="1" x14ac:dyDescent="0.15">
      <c r="A7" s="9" t="s">
        <v>111</v>
      </c>
      <c r="B7" s="8"/>
      <c r="C7" s="8"/>
      <c r="D7" s="8" t="s">
        <v>109</v>
      </c>
      <c r="E7" s="8" t="s">
        <v>109</v>
      </c>
      <c r="F7" s="8" t="s">
        <v>109</v>
      </c>
      <c r="G7" s="8"/>
      <c r="H7" s="8" t="s">
        <v>109</v>
      </c>
      <c r="I7" s="8" t="s">
        <v>109</v>
      </c>
      <c r="J7" s="8"/>
      <c r="K7" s="8"/>
      <c r="L7" s="8"/>
      <c r="M7" s="8"/>
      <c r="N7" s="8"/>
      <c r="O7" s="8" t="s">
        <v>109</v>
      </c>
      <c r="P7" s="8"/>
      <c r="Q7" s="8"/>
      <c r="R7" s="8"/>
      <c r="S7" s="8"/>
      <c r="T7" s="8" t="s">
        <v>109</v>
      </c>
      <c r="U7" s="8"/>
      <c r="V7" s="8" t="s">
        <v>109</v>
      </c>
      <c r="W7" s="8" t="s">
        <v>109</v>
      </c>
      <c r="X7" s="8" t="s">
        <v>109</v>
      </c>
      <c r="Y7" s="8" t="s">
        <v>109</v>
      </c>
      <c r="Z7" s="8" t="s">
        <v>109</v>
      </c>
      <c r="AA7" s="8" t="s">
        <v>109</v>
      </c>
      <c r="AB7" s="8"/>
      <c r="AC7" s="8"/>
      <c r="AD7" s="8" t="s">
        <v>109</v>
      </c>
      <c r="AE7" s="8" t="s">
        <v>109</v>
      </c>
      <c r="AF7" s="8" t="s">
        <v>109</v>
      </c>
      <c r="AG7" s="8"/>
      <c r="AH7" s="8" t="s">
        <v>109</v>
      </c>
      <c r="AI7" s="8" t="s">
        <v>109</v>
      </c>
      <c r="AJ7" s="8"/>
      <c r="AK7" s="8" t="s">
        <v>109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 t="s">
        <v>109</v>
      </c>
      <c r="AZ7" s="8"/>
      <c r="BA7" s="8"/>
      <c r="BB7" s="8"/>
      <c r="BC7" s="8"/>
      <c r="BD7" s="8"/>
      <c r="BE7" s="8"/>
      <c r="BF7" s="8"/>
      <c r="BG7" s="8" t="s">
        <v>109</v>
      </c>
      <c r="BH7" s="8" t="s">
        <v>109</v>
      </c>
      <c r="BI7" s="8" t="s">
        <v>109</v>
      </c>
      <c r="BJ7" s="8" t="s">
        <v>109</v>
      </c>
      <c r="BK7" s="7"/>
      <c r="BL7" s="7"/>
      <c r="BM7" s="7"/>
      <c r="BN7" s="7"/>
      <c r="BO7" s="7"/>
      <c r="BP7" s="7"/>
      <c r="BQ7" s="7"/>
    </row>
    <row r="8" spans="1:69" ht="20" customHeight="1" x14ac:dyDescent="0.15">
      <c r="A8" s="9" t="s">
        <v>112</v>
      </c>
      <c r="B8" s="8"/>
      <c r="C8" s="8"/>
      <c r="D8" s="8" t="s">
        <v>109</v>
      </c>
      <c r="E8" s="8" t="s">
        <v>109</v>
      </c>
      <c r="F8" s="8" t="s">
        <v>109</v>
      </c>
      <c r="G8" s="8"/>
      <c r="H8" s="8" t="s">
        <v>109</v>
      </c>
      <c r="I8" s="8" t="s">
        <v>109</v>
      </c>
      <c r="J8" s="8"/>
      <c r="K8" s="8"/>
      <c r="L8" s="8"/>
      <c r="M8" s="8"/>
      <c r="N8" s="8"/>
      <c r="O8" s="8" t="s">
        <v>109</v>
      </c>
      <c r="P8" s="8"/>
      <c r="Q8" s="8"/>
      <c r="R8" s="8"/>
      <c r="S8" s="8"/>
      <c r="T8" s="8" t="s">
        <v>109</v>
      </c>
      <c r="U8" s="8"/>
      <c r="V8" s="8" t="s">
        <v>109</v>
      </c>
      <c r="W8" s="8" t="s">
        <v>109</v>
      </c>
      <c r="X8" s="8" t="s">
        <v>109</v>
      </c>
      <c r="Y8" s="8" t="s">
        <v>109</v>
      </c>
      <c r="Z8" s="8" t="s">
        <v>109</v>
      </c>
      <c r="AA8" s="8" t="s">
        <v>109</v>
      </c>
      <c r="AB8" s="8"/>
      <c r="AC8" s="8"/>
      <c r="AD8" s="8" t="s">
        <v>109</v>
      </c>
      <c r="AE8" s="8" t="s">
        <v>109</v>
      </c>
      <c r="AF8" s="8" t="s">
        <v>109</v>
      </c>
      <c r="AG8" s="8"/>
      <c r="AH8" s="8" t="s">
        <v>109</v>
      </c>
      <c r="AI8" s="8" t="s">
        <v>109</v>
      </c>
      <c r="AJ8" s="8" t="s">
        <v>109</v>
      </c>
      <c r="AK8" s="8" t="s">
        <v>109</v>
      </c>
      <c r="AL8" s="8" t="s">
        <v>109</v>
      </c>
      <c r="AM8" s="8" t="s">
        <v>109</v>
      </c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 t="s">
        <v>109</v>
      </c>
      <c r="AZ8" s="8"/>
      <c r="BA8" s="8"/>
      <c r="BB8" s="8"/>
      <c r="BC8" s="8"/>
      <c r="BD8" s="8"/>
      <c r="BE8" s="8"/>
      <c r="BF8" s="8"/>
      <c r="BG8" s="8" t="s">
        <v>109</v>
      </c>
      <c r="BH8" s="8" t="s">
        <v>109</v>
      </c>
      <c r="BI8" s="8" t="s">
        <v>109</v>
      </c>
      <c r="BJ8" s="8" t="s">
        <v>109</v>
      </c>
      <c r="BK8" s="7"/>
      <c r="BL8" s="7"/>
      <c r="BM8" s="7"/>
      <c r="BN8" s="7"/>
      <c r="BO8" s="7"/>
      <c r="BP8" s="7"/>
      <c r="BQ8" s="7"/>
    </row>
    <row r="9" spans="1:69" ht="17" customHeight="1" x14ac:dyDescent="0.15">
      <c r="A9" s="9" t="s">
        <v>113</v>
      </c>
      <c r="B9" s="8"/>
      <c r="C9" s="8"/>
      <c r="D9" s="8" t="s">
        <v>109</v>
      </c>
      <c r="E9" s="8" t="s">
        <v>109</v>
      </c>
      <c r="F9" s="8"/>
      <c r="G9" s="8"/>
      <c r="H9" s="8" t="s">
        <v>109</v>
      </c>
      <c r="I9" s="8" t="s">
        <v>109</v>
      </c>
      <c r="J9" s="8"/>
      <c r="K9" s="8"/>
      <c r="L9" s="8"/>
      <c r="M9" s="8"/>
      <c r="N9" s="8"/>
      <c r="O9" s="8"/>
      <c r="P9" s="8"/>
      <c r="Q9" s="8"/>
      <c r="R9" s="8"/>
      <c r="S9" s="8"/>
      <c r="T9" s="8" t="s">
        <v>109</v>
      </c>
      <c r="U9" s="8"/>
      <c r="V9" s="8"/>
      <c r="W9" s="8"/>
      <c r="X9" s="8"/>
      <c r="Y9" s="8" t="s">
        <v>109</v>
      </c>
      <c r="Z9" s="8"/>
      <c r="AA9" s="8"/>
      <c r="AB9" s="8"/>
      <c r="AC9" s="8"/>
      <c r="AD9" s="8" t="s">
        <v>109</v>
      </c>
      <c r="AE9" s="8"/>
      <c r="AF9" s="8" t="s">
        <v>109</v>
      </c>
      <c r="AG9" s="8"/>
      <c r="AH9" s="8"/>
      <c r="AI9" s="8"/>
      <c r="AJ9" s="8"/>
      <c r="AK9" s="8" t="s">
        <v>109</v>
      </c>
      <c r="AL9" s="8" t="s">
        <v>109</v>
      </c>
      <c r="AM9" s="8" t="s">
        <v>109</v>
      </c>
      <c r="AN9" s="8"/>
      <c r="AO9" s="8"/>
      <c r="AP9" s="8" t="s">
        <v>109</v>
      </c>
      <c r="AQ9" s="8"/>
      <c r="AR9" s="8"/>
      <c r="AS9" s="8"/>
      <c r="AT9" s="8"/>
      <c r="AU9" s="8" t="s">
        <v>109</v>
      </c>
      <c r="AV9" s="8" t="s">
        <v>109</v>
      </c>
      <c r="AW9" s="8" t="s">
        <v>109</v>
      </c>
      <c r="AX9" s="8" t="s">
        <v>109</v>
      </c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7"/>
      <c r="BL9" s="7"/>
      <c r="BM9" s="7"/>
      <c r="BN9" s="7"/>
      <c r="BO9" s="7"/>
      <c r="BP9" s="7"/>
      <c r="BQ9" s="7"/>
    </row>
    <row r="10" spans="1:69" ht="18" customHeight="1" x14ac:dyDescent="0.15">
      <c r="A10" s="9" t="s">
        <v>114</v>
      </c>
      <c r="B10" s="8"/>
      <c r="C10" s="8"/>
      <c r="D10" s="8" t="s">
        <v>109</v>
      </c>
      <c r="E10" s="8" t="s">
        <v>109</v>
      </c>
      <c r="F10" s="8"/>
      <c r="G10" s="8"/>
      <c r="H10" s="8" t="s">
        <v>109</v>
      </c>
      <c r="I10" s="8" t="s">
        <v>109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109</v>
      </c>
      <c r="U10" s="8"/>
      <c r="V10" s="8"/>
      <c r="W10" s="8"/>
      <c r="X10" s="8"/>
      <c r="Y10" s="8" t="s">
        <v>109</v>
      </c>
      <c r="Z10" s="8" t="s">
        <v>109</v>
      </c>
      <c r="AA10" s="8"/>
      <c r="AB10" s="8"/>
      <c r="AC10" s="8"/>
      <c r="AD10" s="8" t="s">
        <v>109</v>
      </c>
      <c r="AE10" s="8" t="s">
        <v>109</v>
      </c>
      <c r="AF10" s="8" t="s">
        <v>109</v>
      </c>
      <c r="AG10" s="8"/>
      <c r="AH10" s="8" t="s">
        <v>109</v>
      </c>
      <c r="AI10" s="8"/>
      <c r="AJ10" s="8"/>
      <c r="AK10" s="8" t="s">
        <v>109</v>
      </c>
      <c r="AL10" s="8" t="s">
        <v>109</v>
      </c>
      <c r="AM10" s="8" t="s">
        <v>109</v>
      </c>
      <c r="AN10" s="8"/>
      <c r="AO10" s="8"/>
      <c r="AP10" s="8" t="s">
        <v>109</v>
      </c>
      <c r="AQ10" s="8"/>
      <c r="AR10" s="8"/>
      <c r="AS10" s="8"/>
      <c r="AT10" s="8"/>
      <c r="AU10" s="8" t="s">
        <v>109</v>
      </c>
      <c r="AV10" s="8"/>
      <c r="AW10" s="8"/>
      <c r="AX10" s="8" t="s">
        <v>109</v>
      </c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7"/>
      <c r="BL10" s="7"/>
      <c r="BM10" s="7"/>
      <c r="BN10" s="7"/>
      <c r="BO10" s="7"/>
      <c r="BP10" s="7"/>
      <c r="BQ10" s="7"/>
    </row>
    <row r="11" spans="1:69" ht="17" customHeight="1" x14ac:dyDescent="0.15">
      <c r="A11" s="9" t="s">
        <v>115</v>
      </c>
      <c r="B11" s="8"/>
      <c r="C11" s="8"/>
      <c r="D11" s="8" t="s">
        <v>109</v>
      </c>
      <c r="E11" s="8" t="s">
        <v>109</v>
      </c>
      <c r="F11" s="8"/>
      <c r="G11" s="8"/>
      <c r="H11" s="8" t="s">
        <v>109</v>
      </c>
      <c r="I11" s="8" t="s">
        <v>109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 t="s">
        <v>109</v>
      </c>
      <c r="AH11" s="8" t="s">
        <v>109</v>
      </c>
      <c r="AI11" s="8" t="s">
        <v>109</v>
      </c>
      <c r="AJ11" s="8" t="s">
        <v>109</v>
      </c>
      <c r="AK11" s="8" t="s">
        <v>109</v>
      </c>
      <c r="AL11" s="8"/>
      <c r="AM11" s="8" t="s">
        <v>109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 t="s">
        <v>109</v>
      </c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7"/>
      <c r="BL11" s="7"/>
      <c r="BM11" s="7"/>
      <c r="BN11" s="7"/>
      <c r="BO11" s="7"/>
      <c r="BP11" s="7"/>
      <c r="BQ11" s="7"/>
    </row>
    <row r="12" spans="1:69" ht="19" customHeight="1" x14ac:dyDescent="0.15">
      <c r="A12" s="9" t="s">
        <v>116</v>
      </c>
      <c r="B12" s="8"/>
      <c r="C12" s="8"/>
      <c r="D12" s="8" t="s">
        <v>109</v>
      </c>
      <c r="E12" s="8" t="s">
        <v>109</v>
      </c>
      <c r="F12" s="8"/>
      <c r="G12" s="8"/>
      <c r="H12" s="8" t="s">
        <v>109</v>
      </c>
      <c r="I12" s="8" t="s">
        <v>109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 t="s">
        <v>109</v>
      </c>
      <c r="AH12" s="8" t="s">
        <v>109</v>
      </c>
      <c r="AI12" s="8"/>
      <c r="AJ12" s="8" t="s">
        <v>109</v>
      </c>
      <c r="AK12" s="8" t="s">
        <v>109</v>
      </c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</row>
    <row r="13" spans="1:69" ht="19" customHeight="1" x14ac:dyDescent="0.15">
      <c r="A13" s="10" t="s">
        <v>117</v>
      </c>
      <c r="B13" s="11"/>
      <c r="C13" s="11"/>
      <c r="D13" s="11" t="s">
        <v>109</v>
      </c>
      <c r="E13" s="11" t="s">
        <v>109</v>
      </c>
      <c r="F13" s="11"/>
      <c r="G13" s="11"/>
      <c r="H13" s="11" t="s">
        <v>109</v>
      </c>
      <c r="I13" s="11" t="s">
        <v>109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 t="s">
        <v>109</v>
      </c>
      <c r="AJ13" s="11"/>
      <c r="AK13" s="11" t="s">
        <v>109</v>
      </c>
      <c r="AL13" s="11" t="s">
        <v>109</v>
      </c>
      <c r="AM13" s="11" t="s">
        <v>109</v>
      </c>
      <c r="AN13" s="11" t="s">
        <v>109</v>
      </c>
      <c r="AO13" s="11" t="s">
        <v>109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9" s="6" customFormat="1" ht="19" customHeight="1" x14ac:dyDescent="0.15">
      <c r="A14" s="9" t="s">
        <v>118</v>
      </c>
      <c r="B14" s="8"/>
      <c r="C14" s="8"/>
      <c r="D14" s="8" t="s">
        <v>109</v>
      </c>
      <c r="E14" s="8" t="s">
        <v>109</v>
      </c>
      <c r="F14" s="8"/>
      <c r="G14" s="8"/>
      <c r="H14" s="8" t="s">
        <v>109</v>
      </c>
      <c r="I14" s="8" t="s">
        <v>109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 t="s">
        <v>109</v>
      </c>
      <c r="AJ14" s="8"/>
      <c r="AK14" s="8" t="s">
        <v>109</v>
      </c>
      <c r="AL14" s="8" t="s">
        <v>109</v>
      </c>
      <c r="AM14" s="8" t="s">
        <v>109</v>
      </c>
      <c r="AN14" s="8" t="s">
        <v>109</v>
      </c>
      <c r="AO14" s="8" t="s">
        <v>109</v>
      </c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</row>
    <row r="15" spans="1:69" ht="21" customHeight="1" x14ac:dyDescent="0.15">
      <c r="A15" s="12" t="s">
        <v>119</v>
      </c>
      <c r="B15" s="13"/>
      <c r="C15" s="13"/>
      <c r="D15" s="13" t="s">
        <v>109</v>
      </c>
      <c r="E15" s="13" t="s">
        <v>109</v>
      </c>
      <c r="F15" s="13"/>
      <c r="G15" s="13"/>
      <c r="H15" s="13" t="s">
        <v>109</v>
      </c>
      <c r="I15" s="13" t="s">
        <v>109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 t="s">
        <v>109</v>
      </c>
      <c r="AQ15" s="13" t="s">
        <v>109</v>
      </c>
      <c r="AR15" s="13" t="s">
        <v>109</v>
      </c>
      <c r="AS15" s="13" t="s">
        <v>109</v>
      </c>
      <c r="AT15" s="13" t="s">
        <v>109</v>
      </c>
      <c r="AU15" s="13" t="s">
        <v>109</v>
      </c>
      <c r="AV15" s="13" t="s">
        <v>109</v>
      </c>
      <c r="AW15" s="13" t="s">
        <v>109</v>
      </c>
      <c r="AX15" s="13" t="s">
        <v>109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9" ht="21" customHeight="1" x14ac:dyDescent="0.15">
      <c r="A16" s="9" t="s">
        <v>120</v>
      </c>
      <c r="B16" s="8"/>
      <c r="C16" s="8"/>
      <c r="D16" s="8" t="s">
        <v>109</v>
      </c>
      <c r="E16" s="8" t="s">
        <v>109</v>
      </c>
      <c r="F16" s="8"/>
      <c r="G16" s="8"/>
      <c r="H16" s="8" t="s">
        <v>109</v>
      </c>
      <c r="I16" s="8" t="s">
        <v>109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 t="s">
        <v>109</v>
      </c>
      <c r="AQ16" s="8" t="s">
        <v>109</v>
      </c>
      <c r="AR16" s="8" t="s">
        <v>109</v>
      </c>
      <c r="AS16" s="8" t="s">
        <v>109</v>
      </c>
      <c r="AT16" s="8" t="s">
        <v>109</v>
      </c>
      <c r="AU16" s="8" t="s">
        <v>109</v>
      </c>
      <c r="AV16" s="8" t="s">
        <v>109</v>
      </c>
      <c r="AW16" s="8" t="s">
        <v>109</v>
      </c>
      <c r="AX16" s="8" t="s">
        <v>109</v>
      </c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</row>
  </sheetData>
  <mergeCells count="12">
    <mergeCell ref="BC3:BF3"/>
    <mergeCell ref="BG3:BJ3"/>
    <mergeCell ref="P3:U3"/>
    <mergeCell ref="J3:O3"/>
    <mergeCell ref="AB3:AF3"/>
    <mergeCell ref="AP3:AX3"/>
    <mergeCell ref="AG3:AK3"/>
    <mergeCell ref="A3:A4"/>
    <mergeCell ref="AY3:BB3"/>
    <mergeCell ref="B3:I3"/>
    <mergeCell ref="V3:AA3"/>
    <mergeCell ref="AL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RCT Details</vt:lpstr>
      <vt:lpstr>ET-Entitlements</vt:lpstr>
      <vt:lpstr>'RCT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ycherna2</dc:creator>
  <cp:lastModifiedBy>Raghava, Mr. Thyagaraj</cp:lastModifiedBy>
  <dcterms:created xsi:type="dcterms:W3CDTF">2011-07-13T20:52:45Z</dcterms:created>
  <dcterms:modified xsi:type="dcterms:W3CDTF">2026-05-11T22:22:40Z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-1783397845</vt:i4>
  </property>
  <property fmtid="{D5CDD505-2E9C-101B-9397-08002B2CF9AE}" pid="3" name="_NewReviewCycle">
    <vt:lpwstr/>
  </property>
  <property fmtid="{D5CDD505-2E9C-101B-9397-08002B2CF9AE}" pid="4" name="_EmailSubject">
    <vt:lpwstr>PBS RCT</vt:lpwstr>
  </property>
  <property fmtid="{D5CDD505-2E9C-101B-9397-08002B2CF9AE}" pid="5" name="_AuthorEmail">
    <vt:lpwstr>yuri.chernak@credit-suisse.com</vt:lpwstr>
  </property>
  <property fmtid="{D5CDD505-2E9C-101B-9397-08002B2CF9AE}" pid="6" name="_AuthorEmailDisplayName">
    <vt:lpwstr>Chernak, Yuri</vt:lpwstr>
  </property>
  <property fmtid="{D5CDD505-2E9C-101B-9397-08002B2CF9AE}" pid="7" name="_ReviewingToolsShownOnce">
    <vt:lpwstr/>
  </property>
</Properties>
</file>